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atch Detail" sheetId="2" state="visible" r:id="rId4"/>
    <sheet name="Daily Summary" sheetId="3" state="visible" r:id="rId5"/>
  </sheets>
  <definedNames>
    <definedName function="false" hidden="true" localSheetId="2" name="_xlnm._FilterDatabase" vbProcedure="false">'Daily Summary'!$A$1:$H$1</definedName>
    <definedName function="false" hidden="true" localSheetId="1" name="_xlnm._FilterDatabase" vbProcedure="false">'Match Detail'!$A$1:$Q$1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<sst xmlns="http://schemas.openxmlformats.org/spreadsheetml/2006/main" count="663" uniqueCount="105">
  <si>
    <t xml:space="preserve">Toss Confirmation Tracking</t>
  </si>
  <si>
    <t xml:space="preserve">Super Selector — matches.toss_checked_at vs matches.start_time, pulled from Supabase project gepltclaeczgtruvekci</t>
  </si>
  <si>
    <t xml:space="preserve">What this tracks</t>
  </si>
  <si>
    <t xml:space="preserve">Every match row's toss_checked_at is the timestamp the check-toss Edge Function last touched it. That value only freezes (stops updating) once toss_status flips to 'confirmed' — so for a confirmed match, toss_checked_at IS the capture time. This workbook lines that capture time up against the match's own start_time so you can see, per match and per day, how far before (or after) kickoff the toss actually got recorded. Negative minutes on the 'Capture vs Start' column = captured before start (the system's intent — check-toss opens a 20-minute pre-match window and is designed to flag a delay once no toss has appeared by 10 minutes before start).</t>
  </si>
  <si>
    <t xml:space="preserve">Key finding</t>
  </si>
  <si>
    <t xml:space="preserve">Of 118 matches in the database, only 5 have ever had a toss actually captured — and all 5 are the most recent CPL 2026 matches (Aug 19-22, 2026). Every earlier match — 85 completed matches spanning Major League Cricket, IPL 2026, CPL 2026 (Matches 1-9), and the T20 Women's World Cup — shows no toss capture at all, i.e. check-toss never ran successfully against them.</t>
  </si>
  <si>
    <t xml:space="preserve">This matches a note already left in migrations/migration_v56_check_toss_cron.sql (dated 2026-08-18): the pg_cron job's Authorization key had gone stale from the moment the job was first written, silently 401'ing every single run — so check-toss never actually executed until that key was fixed, right around 2026-08-18/19. The data lines up exactly: nothing was ever captured before that, and the first matches to fall inside the check-toss window afterward all show activity.</t>
  </si>
  <si>
    <t xml:space="preserve">Since the fix</t>
  </si>
  <si>
    <t xml:space="preserve">Match 10 (CPL 2026)</t>
  </si>
  <si>
    <t xml:space="preserve">Started 2026-08-19 00:00 UTC — flagged delay_flagged right at start_time; no toss confirmed by either source.</t>
  </si>
  <si>
    <t xml:space="preserve">Match 11 (CPL 2026)</t>
  </si>
  <si>
    <t xml:space="preserve">Started 2026-08-19 23:00 UTC — confirmed 14 min BEFORE start (cricketaddictor). On target.</t>
  </si>
  <si>
    <t xml:space="preserve">Match 12 (CPL 2026)</t>
  </si>
  <si>
    <t xml:space="preserve">Started 2026-08-20 23:00 UTC — confirmed 7 min BEFORE start (cricketaddictor). On target.</t>
  </si>
  <si>
    <t xml:space="preserve">Match 13 (CPL 2026)</t>
  </si>
  <si>
    <t xml:space="preserve">Started 2026-08-21 23:00 UTC — confirmed 6 min BEFORE start (cricketaddictor). On target — 3rd confirmation in a row since the fix.</t>
  </si>
  <si>
    <t xml:space="preserve">Match 14 (CPL 2026)</t>
  </si>
  <si>
    <t xml:space="preserve">Started 2026-08-22 23:00 UTC — confirmed 10 min BEFORE start (cricketaddictor). First match checked under the widened 30-min window (deployed 2026-08-22); toss still landed ~10 min out, same as before — the wider window gives more polling passes, not an earlier source report.</t>
  </si>
  <si>
    <t xml:space="preserve">At a glance (live — recalculates as new daily pulls are appended to Match Detail)</t>
  </si>
  <si>
    <t xml:space="preserve">Total matches in table</t>
  </si>
  <si>
    <t xml:space="preserve">Matches ever toss-checked</t>
  </si>
  <si>
    <t xml:space="preserve">Toss confirmed</t>
  </si>
  <si>
    <t xml:space="preserve">Delay flagged</t>
  </si>
  <si>
    <t xml:space="preserve">Never checked</t>
  </si>
  <si>
    <t xml:space="preserve">Avg capture vs start, confirmed matches (min)</t>
  </si>
  <si>
    <t xml:space="preserve">How to extend this daily</t>
  </si>
  <si>
    <t xml:space="preserve">Re-run the same Supabase query against the matches table (id, tournament, match_number, teams, start_time, toss_status, toss_winner_name, toss_decision, toss_source, toss_checked_at) and append any new/updated rows to the Match Detail tab, keeping the same columns and formulas (drag column H:Q down for new rows). The Daily Summary tab will pick up new dates automatically once a row for that date exists on Match Detail with a matching Match Date (ET) value in column I. Ask me to pull a fresh export any day and I'll keep this workbook current.</t>
  </si>
  <si>
    <t xml:space="preserve">Data pulled: 2026-08-23 (America/New_York). Source: Supabase project gepltclaeczgtruvekci, table "matches".</t>
  </si>
  <si>
    <t xml:space="preserve">Tournament</t>
  </si>
  <si>
    <t xml:space="preserve">Match #</t>
  </si>
  <si>
    <t xml:space="preserve">Match Type</t>
  </si>
  <si>
    <t xml:space="preserve">Home Team</t>
  </si>
  <si>
    <t xml:space="preserve">Away Team</t>
  </si>
  <si>
    <t xml:space="preserve">Match Status</t>
  </si>
  <si>
    <t xml:space="preserve">Start Time (UTC)</t>
  </si>
  <si>
    <t xml:space="preserve">Start Time (ET)</t>
  </si>
  <si>
    <t xml:space="preserve">Match Date (ET)</t>
  </si>
  <si>
    <t xml:space="preserve">Toss Status</t>
  </si>
  <si>
    <t xml:space="preserve">Toss Winner</t>
  </si>
  <si>
    <t xml:space="preserve">Toss Decision</t>
  </si>
  <si>
    <t xml:space="preserve">Toss Source</t>
  </si>
  <si>
    <t xml:space="preserve">Toss Captured At (UTC)</t>
  </si>
  <si>
    <t xml:space="preserve">Toss Captured At (ET)</t>
  </si>
  <si>
    <t xml:space="preserve">Capture vs Start (min)</t>
  </si>
  <si>
    <t xml:space="preserve">Ever Checked?</t>
  </si>
  <si>
    <t xml:space="preserve">IPL 2026</t>
  </si>
  <si>
    <t xml:space="preserve">Chennai Super Kings</t>
  </si>
  <si>
    <t xml:space="preserve">Sunrisers Hyderabad</t>
  </si>
  <si>
    <t xml:space="preserve">completed</t>
  </si>
  <si>
    <t xml:space="preserve">pending</t>
  </si>
  <si>
    <t xml:space="preserve">Lucknow Super Giants</t>
  </si>
  <si>
    <t xml:space="preserve">Rajasthan Royals</t>
  </si>
  <si>
    <t xml:space="preserve">Kolkata Knight Riders</t>
  </si>
  <si>
    <t xml:space="preserve">Mumbai Indians</t>
  </si>
  <si>
    <t xml:space="preserve">Gujarat Titans</t>
  </si>
  <si>
    <t xml:space="preserve">Royal Challengers Bengaluru</t>
  </si>
  <si>
    <t xml:space="preserve">Punjab Kings</t>
  </si>
  <si>
    <t xml:space="preserve">Delhi Capitals</t>
  </si>
  <si>
    <t xml:space="preserve">T20 Womens World Cup</t>
  </si>
  <si>
    <t xml:space="preserve">England Women</t>
  </si>
  <si>
    <t xml:space="preserve">Sri Lanka Women</t>
  </si>
  <si>
    <t xml:space="preserve">Ireland Women</t>
  </si>
  <si>
    <t xml:space="preserve">Scotland Women</t>
  </si>
  <si>
    <t xml:space="preserve">Australia Women</t>
  </si>
  <si>
    <t xml:space="preserve">South Africa Women</t>
  </si>
  <si>
    <t xml:space="preserve">New Zealand Women</t>
  </si>
  <si>
    <t xml:space="preserve">West Indies Women</t>
  </si>
  <si>
    <t xml:space="preserve">Bangladesh Women</t>
  </si>
  <si>
    <t xml:space="preserve">Netherlands Women</t>
  </si>
  <si>
    <t xml:space="preserve">India Women</t>
  </si>
  <si>
    <t xml:space="preserve">Pakistan Women</t>
  </si>
  <si>
    <t xml:space="preserve">Major League Cricket</t>
  </si>
  <si>
    <t xml:space="preserve">Seattle Orcas</t>
  </si>
  <si>
    <t xml:space="preserve">Texas Super Kings</t>
  </si>
  <si>
    <t xml:space="preserve">Los Angeles Knight Riders</t>
  </si>
  <si>
    <t xml:space="preserve">San Francisco Unicorns</t>
  </si>
  <si>
    <t xml:space="preserve">Washington Freedom</t>
  </si>
  <si>
    <t xml:space="preserve">Mi New York</t>
  </si>
  <si>
    <t xml:space="preserve">TBD</t>
  </si>
  <si>
    <t xml:space="preserve">live</t>
  </si>
  <si>
    <t xml:space="preserve">qualifier_1</t>
  </si>
  <si>
    <t xml:space="preserve">eliminator</t>
  </si>
  <si>
    <t xml:space="preserve">qualifier_2</t>
  </si>
  <si>
    <t xml:space="preserve">final</t>
  </si>
  <si>
    <t xml:space="preserve">Caribbean Premier League 2026</t>
  </si>
  <si>
    <t xml:space="preserve">Antigua and Barbuda Falcons</t>
  </si>
  <si>
    <t xml:space="preserve">Jamaica Kingsmen</t>
  </si>
  <si>
    <t xml:space="preserve">St Kitts and Nevis Patriots</t>
  </si>
  <si>
    <t xml:space="preserve">Trinbago Knight Riders</t>
  </si>
  <si>
    <t xml:space="preserve">Saint Lucia Kings</t>
  </si>
  <si>
    <t xml:space="preserve">Barbados Tridents</t>
  </si>
  <si>
    <t xml:space="preserve">Guyana Amazon Warriors</t>
  </si>
  <si>
    <t xml:space="preserve">delay_flagged</t>
  </si>
  <si>
    <t xml:space="preserve">confirmed</t>
  </si>
  <si>
    <t xml:space="preserve">bowl</t>
  </si>
  <si>
    <t xml:space="preserve">cricketaddictor</t>
  </si>
  <si>
    <t xml:space="preserve">scheduled</t>
  </si>
  <si>
    <t xml:space="preserve">Date (ET)</t>
  </si>
  <si>
    <t xml:space="preserve">Matches Scheduled</t>
  </si>
  <si>
    <t xml:space="preserve">Toss Checked</t>
  </si>
  <si>
    <t xml:space="preserve">Toss Confirmed</t>
  </si>
  <si>
    <t xml:space="preserve">Delay Flagged</t>
  </si>
  <si>
    <t xml:space="preserve">Never Checked</t>
  </si>
  <si>
    <t xml:space="preserve">Coverage %</t>
  </si>
  <si>
    <t xml:space="preserve">Avg Capture vs Start (min)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</si>
</sst>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.0;\(#,##0.0\)"/>
    <numFmt numFmtId="167" formatCode="yyyy\-mm\-dd\ hh:mm"/>
    <numFmt numFmtId="168" formatCode="yyyy\-mm\-dd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90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B10" s="4"/>
      <c r="C10" s="4"/>
      <c r="D10" s="4"/>
      <c r="E10" s="4"/>
      <c r="F10" s="4"/>
      <c r="G10" s="4"/>
      <c r="H10" s="4"/>
    </row>
    <row r="12" customFormat="false" ht="15" hidden="false" customHeight="false" outlineLevel="0" collapsed="false">
      <c r="B12" s="3" t="s">
        <v>4</v>
      </c>
    </row>
    <row r="13" customFormat="false" ht="72" hidden="false" customHeight="true" outlineLevel="0" collapsed="false">
      <c r="B13" s="4" t="s">
        <v>5</v>
      </c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B16" s="4"/>
      <c r="C16" s="4"/>
      <c r="D16" s="4"/>
      <c r="E16" s="4"/>
      <c r="F16" s="4"/>
      <c r="G16" s="4"/>
      <c r="H16" s="4"/>
    </row>
    <row r="18" customFormat="false" ht="72" hidden="false" customHeight="true" outlineLevel="0" collapsed="false">
      <c r="B18" s="4" t="s">
        <v>6</v>
      </c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B21" s="4"/>
      <c r="C21" s="4"/>
      <c r="D21" s="4"/>
      <c r="E21" s="4"/>
      <c r="F21" s="4"/>
      <c r="G21" s="4"/>
      <c r="H21" s="4"/>
    </row>
    <row r="23" customFormat="false" ht="15" hidden="false" customHeight="false" outlineLevel="0" collapsed="false">
      <c r="B23" s="3" t="s">
        <v>7</v>
      </c>
    </row>
    <row r="24" customFormat="false" ht="27.75" hidden="false" customHeight="true" outlineLevel="0" collapsed="false">
      <c r="B24" s="5" t="s">
        <v>8</v>
      </c>
      <c r="C24" s="4" t="s">
        <v>9</v>
      </c>
      <c r="D24" s="4"/>
      <c r="E24" s="4"/>
      <c r="F24" s="4"/>
      <c r="G24" s="4"/>
      <c r="H24" s="4"/>
    </row>
    <row r="25" customFormat="false" ht="27.75" hidden="false" customHeight="true" outlineLevel="0" collapsed="false">
      <c r="B25" s="5" t="s">
        <v>10</v>
      </c>
      <c r="C25" s="4" t="s">
        <v>11</v>
      </c>
      <c r="D25" s="4"/>
      <c r="E25" s="4"/>
      <c r="F25" s="4"/>
      <c r="G25" s="4"/>
      <c r="H25" s="4"/>
    </row>
    <row r="26" customFormat="false" ht="27.75" hidden="false" customHeight="true" outlineLevel="0" collapsed="false">
      <c r="B26" s="5" t="s">
        <v>12</v>
      </c>
      <c r="C26" s="4" t="s">
        <v>13</v>
      </c>
      <c r="D26" s="4"/>
      <c r="E26" s="4"/>
      <c r="F26" s="4"/>
      <c r="G26" s="4"/>
      <c r="H26" s="4"/>
    </row>
    <row r="27" customFormat="false" ht="27.75" hidden="false" customHeight="true" outlineLevel="0" collapsed="false">
      <c r="B27" s="5" t="s">
        <v>14</v>
      </c>
      <c r="C27" s="4" t="s">
        <v>15</v>
      </c>
      <c r="D27" s="4"/>
      <c r="E27" s="4"/>
      <c r="F27" s="4"/>
      <c r="G27" s="4"/>
      <c r="H27" s="4"/>
    </row>
    <row r="28" customFormat="false" ht="42" hidden="false" customHeight="true" outlineLevel="0" collapsed="false">
      <c r="B28" s="5" t="s">
        <v>16</v>
      </c>
      <c r="C28" s="4" t="s">
        <v>17</v>
      </c>
      <c r="D28" s="4"/>
      <c r="E28" s="4"/>
      <c r="F28" s="4"/>
      <c r="G28" s="4"/>
      <c r="H28" s="4"/>
    </row>
    <row r="30" customFormat="false" ht="15" hidden="false" customHeight="false" outlineLevel="0" collapsed="false">
      <c r="B30" s="3" t="s">
        <v>18</v>
      </c>
    </row>
    <row r="31" customFormat="false" ht="15" hidden="false" customHeight="false" outlineLevel="0" collapsed="false">
      <c r="B31" s="6" t="s">
        <v>19</v>
      </c>
      <c r="C31" s="6"/>
      <c r="D31" s="7" t="n">
        <f aca="false">COUNTA('Match Detail'!$J$2:$J$119)</f>
        <v>118</v>
      </c>
    </row>
    <row r="32" customFormat="false" ht="15" hidden="false" customHeight="false" outlineLevel="0" collapsed="false">
      <c r="B32" s="6" t="s">
        <v>20</v>
      </c>
      <c r="C32" s="6"/>
      <c r="D32" s="7" t="n">
        <f aca="false">COUNTIF('Match Detail'!$Q$2:$Q$119,"Yes")</f>
        <v>5</v>
      </c>
    </row>
    <row r="33" customFormat="false" ht="15" hidden="false" customHeight="false" outlineLevel="0" collapsed="false">
      <c r="B33" s="6" t="s">
        <v>21</v>
      </c>
      <c r="C33" s="6"/>
      <c r="D33" s="7" t="n">
        <f aca="false">COUNTIF('Match Detail'!$J$2:$J$119,"confirmed")</f>
        <v>4</v>
      </c>
    </row>
    <row r="34" customFormat="false" ht="15" hidden="false" customHeight="false" outlineLevel="0" collapsed="false">
      <c r="B34" s="6" t="s">
        <v>22</v>
      </c>
      <c r="C34" s="6"/>
      <c r="D34" s="7" t="n">
        <f aca="false">COUNTIF('Match Detail'!$J$2:$J$119,"delay_flagged")</f>
        <v>1</v>
      </c>
    </row>
    <row r="35" customFormat="false" ht="15" hidden="false" customHeight="false" outlineLevel="0" collapsed="false">
      <c r="B35" s="6" t="s">
        <v>23</v>
      </c>
      <c r="C35" s="6"/>
      <c r="D35" s="7" t="n">
        <f aca="false">COUNTIF('Match Detail'!$Q$2:$Q$119,"No")</f>
        <v>113</v>
      </c>
    </row>
    <row r="36" customFormat="false" ht="15" hidden="false" customHeight="false" outlineLevel="0" collapsed="false">
      <c r="B36" s="6" t="s">
        <v>24</v>
      </c>
      <c r="C36" s="6"/>
      <c r="D36" s="8" t="n">
        <f aca="false">IFERROR(AVERAGEIFS('Match Detail'!$P$2:$P$119,'Match Detail'!$J$2:$J$119,"confirmed"),"n/a")</f>
        <v>-9.225</v>
      </c>
    </row>
    <row r="38" customFormat="false" ht="15" hidden="false" customHeight="false" outlineLevel="0" collapsed="false">
      <c r="B38" s="3" t="s">
        <v>25</v>
      </c>
    </row>
    <row r="39" customFormat="false" ht="72" hidden="false" customHeight="true" outlineLevel="0" collapsed="false">
      <c r="B39" s="4" t="s">
        <v>26</v>
      </c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B40" s="4"/>
      <c r="C40" s="4"/>
      <c r="D40" s="4"/>
      <c r="E40" s="4"/>
      <c r="F40" s="4"/>
      <c r="G40" s="4"/>
      <c r="H40" s="4"/>
    </row>
    <row r="41" customFormat="false" ht="15" hidden="false" customHeight="false" outlineLevel="0" collapsed="false">
      <c r="B41" s="4"/>
      <c r="C41" s="4"/>
      <c r="D41" s="4"/>
      <c r="E41" s="4"/>
      <c r="F41" s="4"/>
      <c r="G41" s="4"/>
      <c r="H41" s="4"/>
    </row>
    <row r="42" customFormat="false" ht="15" hidden="false" customHeight="false" outlineLevel="0" collapsed="false">
      <c r="B42" s="4"/>
      <c r="C42" s="4"/>
      <c r="D42" s="4"/>
      <c r="E42" s="4"/>
      <c r="F42" s="4"/>
      <c r="G42" s="4"/>
      <c r="H42" s="4"/>
    </row>
    <row r="44" customFormat="false" ht="15" hidden="false" customHeight="false" outlineLevel="0" collapsed="false">
      <c r="B44" s="2" t="s">
        <v>27</v>
      </c>
    </row>
  </sheetData>
  <mergeCells count="15">
    <mergeCell ref="B6:H10"/>
    <mergeCell ref="B13:H16"/>
    <mergeCell ref="B18:H21"/>
    <mergeCell ref="C24:H24"/>
    <mergeCell ref="C25:H25"/>
    <mergeCell ref="C26:H26"/>
    <mergeCell ref="C27:H27"/>
    <mergeCell ref="C28:H28"/>
    <mergeCell ref="B31:C31"/>
    <mergeCell ref="B32:C32"/>
    <mergeCell ref="B33:C33"/>
    <mergeCell ref="B34:C34"/>
    <mergeCell ref="B35:C35"/>
    <mergeCell ref="B36:C36"/>
    <mergeCell ref="B39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20"/>
    <col collapsed="false" customWidth="true" hidden="false" outlineLevel="0" max="6" min="6" style="0" width="12"/>
    <col collapsed="false" customWidth="true" hidden="false" outlineLevel="0" max="8" min="7" style="0" width="17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19"/>
    <col collapsed="false" customWidth="true" hidden="false" outlineLevel="0" max="15" min="15" style="0" width="17"/>
    <col collapsed="false" customWidth="true" hidden="false" outlineLevel="0" max="16" min="16" style="0" width="16"/>
    <col collapsed="false" customWidth="true" hidden="false" outlineLevel="0" max="17" min="17" style="0" width="12"/>
  </cols>
  <sheetData>
    <row r="1" customFormat="false" ht="23.85" hidden="false" customHeight="false" outlineLevel="0" collapsed="false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9" t="s">
        <v>44</v>
      </c>
    </row>
    <row r="2" customFormat="false" ht="15" hidden="false" customHeight="false" outlineLevel="0" collapsed="false">
      <c r="A2" s="10" t="s">
        <v>45</v>
      </c>
      <c r="B2" s="10" t="n">
        <v>63</v>
      </c>
      <c r="C2" s="10"/>
      <c r="D2" s="10" t="s">
        <v>46</v>
      </c>
      <c r="E2" s="10" t="s">
        <v>47</v>
      </c>
      <c r="F2" s="10" t="s">
        <v>48</v>
      </c>
      <c r="G2" s="11" t="n">
        <v>46160.5833333333</v>
      </c>
      <c r="H2" s="11" t="n">
        <f aca="false">G2-TIME(4,0,0)</f>
        <v>46160.4166666667</v>
      </c>
      <c r="I2" s="12" t="n">
        <f aca="false">INT(H2)</f>
        <v>46160</v>
      </c>
      <c r="J2" s="10" t="s">
        <v>49</v>
      </c>
      <c r="K2" s="10"/>
      <c r="L2" s="10"/>
      <c r="M2" s="10"/>
      <c r="N2" s="11"/>
      <c r="O2" s="11" t="str">
        <f aca="false">IF(N2="","",N2-TIME(4,0,0))</f>
        <v/>
      </c>
      <c r="P2" s="13" t="str">
        <f aca="false">IF(N2="","",ROUND((N2-G2)*1440,1))</f>
        <v/>
      </c>
      <c r="Q2" s="10" t="str">
        <f aca="false">IF(N2="","No","Yes")</f>
        <v>No</v>
      </c>
    </row>
    <row r="3" customFormat="false" ht="15" hidden="false" customHeight="false" outlineLevel="0" collapsed="false">
      <c r="A3" s="10" t="s">
        <v>45</v>
      </c>
      <c r="B3" s="10" t="n">
        <v>64</v>
      </c>
      <c r="C3" s="10"/>
      <c r="D3" s="10" t="s">
        <v>50</v>
      </c>
      <c r="E3" s="10" t="s">
        <v>51</v>
      </c>
      <c r="F3" s="10" t="s">
        <v>48</v>
      </c>
      <c r="G3" s="11" t="n">
        <v>46161.5833333333</v>
      </c>
      <c r="H3" s="11" t="n">
        <f aca="false">G3-TIME(4,0,0)</f>
        <v>46161.4166666667</v>
      </c>
      <c r="I3" s="12" t="n">
        <f aca="false">INT(H3)</f>
        <v>46161</v>
      </c>
      <c r="J3" s="10" t="s">
        <v>49</v>
      </c>
      <c r="K3" s="10"/>
      <c r="L3" s="10"/>
      <c r="M3" s="10"/>
      <c r="N3" s="11"/>
      <c r="O3" s="11" t="str">
        <f aca="false">IF(N3="","",N3-TIME(4,0,0))</f>
        <v/>
      </c>
      <c r="P3" s="13" t="str">
        <f aca="false">IF(N3="","",ROUND((N3-G3)*1440,1))</f>
        <v/>
      </c>
      <c r="Q3" s="10" t="str">
        <f aca="false">IF(N3="","No","Yes")</f>
        <v>No</v>
      </c>
    </row>
    <row r="4" customFormat="false" ht="15" hidden="false" customHeight="false" outlineLevel="0" collapsed="false">
      <c r="A4" s="10" t="s">
        <v>45</v>
      </c>
      <c r="B4" s="10" t="n">
        <v>65</v>
      </c>
      <c r="C4" s="10"/>
      <c r="D4" s="10" t="s">
        <v>52</v>
      </c>
      <c r="E4" s="10" t="s">
        <v>53</v>
      </c>
      <c r="F4" s="10" t="s">
        <v>48</v>
      </c>
      <c r="G4" s="11" t="n">
        <v>46162.5833333333</v>
      </c>
      <c r="H4" s="11" t="n">
        <f aca="false">G4-TIME(4,0,0)</f>
        <v>46162.4166666667</v>
      </c>
      <c r="I4" s="12" t="n">
        <f aca="false">INT(H4)</f>
        <v>46162</v>
      </c>
      <c r="J4" s="10" t="s">
        <v>49</v>
      </c>
      <c r="K4" s="10"/>
      <c r="L4" s="10"/>
      <c r="M4" s="10"/>
      <c r="N4" s="11"/>
      <c r="O4" s="11" t="str">
        <f aca="false">IF(N4="","",N4-TIME(4,0,0))</f>
        <v/>
      </c>
      <c r="P4" s="13" t="str">
        <f aca="false">IF(N4="","",ROUND((N4-G4)*1440,1))</f>
        <v/>
      </c>
      <c r="Q4" s="10" t="str">
        <f aca="false">IF(N4="","No","Yes")</f>
        <v>No</v>
      </c>
    </row>
    <row r="5" customFormat="false" ht="15" hidden="false" customHeight="false" outlineLevel="0" collapsed="false">
      <c r="A5" s="10" t="s">
        <v>45</v>
      </c>
      <c r="B5" s="10" t="n">
        <v>66</v>
      </c>
      <c r="C5" s="10"/>
      <c r="D5" s="10" t="s">
        <v>46</v>
      </c>
      <c r="E5" s="10" t="s">
        <v>54</v>
      </c>
      <c r="F5" s="10" t="s">
        <v>48</v>
      </c>
      <c r="G5" s="11" t="n">
        <v>46163.5833333333</v>
      </c>
      <c r="H5" s="11" t="n">
        <f aca="false">G5-TIME(4,0,0)</f>
        <v>46163.4166666667</v>
      </c>
      <c r="I5" s="12" t="n">
        <f aca="false">INT(H5)</f>
        <v>46163</v>
      </c>
      <c r="J5" s="10" t="s">
        <v>49</v>
      </c>
      <c r="K5" s="10"/>
      <c r="L5" s="10"/>
      <c r="M5" s="10"/>
      <c r="N5" s="11"/>
      <c r="O5" s="11" t="str">
        <f aca="false">IF(N5="","",N5-TIME(4,0,0))</f>
        <v/>
      </c>
      <c r="P5" s="13" t="str">
        <f aca="false">IF(N5="","",ROUND((N5-G5)*1440,1))</f>
        <v/>
      </c>
      <c r="Q5" s="10" t="str">
        <f aca="false">IF(N5="","No","Yes")</f>
        <v>No</v>
      </c>
    </row>
    <row r="6" customFormat="false" ht="15" hidden="false" customHeight="false" outlineLevel="0" collapsed="false">
      <c r="A6" s="10" t="s">
        <v>45</v>
      </c>
      <c r="B6" s="10" t="n">
        <v>67</v>
      </c>
      <c r="C6" s="10"/>
      <c r="D6" s="10" t="s">
        <v>55</v>
      </c>
      <c r="E6" s="10" t="s">
        <v>47</v>
      </c>
      <c r="F6" s="10" t="s">
        <v>48</v>
      </c>
      <c r="G6" s="11" t="n">
        <v>46164.5833333333</v>
      </c>
      <c r="H6" s="11" t="n">
        <f aca="false">G6-TIME(4,0,0)</f>
        <v>46164.4166666667</v>
      </c>
      <c r="I6" s="12" t="n">
        <f aca="false">INT(H6)</f>
        <v>46164</v>
      </c>
      <c r="J6" s="10" t="s">
        <v>49</v>
      </c>
      <c r="K6" s="10"/>
      <c r="L6" s="10"/>
      <c r="M6" s="10"/>
      <c r="N6" s="11"/>
      <c r="O6" s="11" t="str">
        <f aca="false">IF(N6="","",N6-TIME(4,0,0))</f>
        <v/>
      </c>
      <c r="P6" s="13" t="str">
        <f aca="false">IF(N6="","",ROUND((N6-G6)*1440,1))</f>
        <v/>
      </c>
      <c r="Q6" s="10" t="str">
        <f aca="false">IF(N6="","No","Yes")</f>
        <v>No</v>
      </c>
    </row>
    <row r="7" customFormat="false" ht="15" hidden="false" customHeight="false" outlineLevel="0" collapsed="false">
      <c r="A7" s="10" t="s">
        <v>45</v>
      </c>
      <c r="B7" s="10" t="n">
        <v>68</v>
      </c>
      <c r="C7" s="10"/>
      <c r="D7" s="10" t="s">
        <v>50</v>
      </c>
      <c r="E7" s="10" t="s">
        <v>56</v>
      </c>
      <c r="F7" s="10" t="s">
        <v>48</v>
      </c>
      <c r="G7" s="11" t="n">
        <v>46165.5833333333</v>
      </c>
      <c r="H7" s="11" t="n">
        <f aca="false">G7-TIME(4,0,0)</f>
        <v>46165.4166666667</v>
      </c>
      <c r="I7" s="12" t="n">
        <f aca="false">INT(H7)</f>
        <v>46165</v>
      </c>
      <c r="J7" s="10" t="s">
        <v>49</v>
      </c>
      <c r="K7" s="10"/>
      <c r="L7" s="10"/>
      <c r="M7" s="10"/>
      <c r="N7" s="11"/>
      <c r="O7" s="11" t="str">
        <f aca="false">IF(N7="","",N7-TIME(4,0,0))</f>
        <v/>
      </c>
      <c r="P7" s="13" t="str">
        <f aca="false">IF(N7="","",ROUND((N7-G7)*1440,1))</f>
        <v/>
      </c>
      <c r="Q7" s="10" t="str">
        <f aca="false">IF(N7="","No","Yes")</f>
        <v>No</v>
      </c>
    </row>
    <row r="8" customFormat="false" ht="15" hidden="false" customHeight="false" outlineLevel="0" collapsed="false">
      <c r="A8" s="10" t="s">
        <v>45</v>
      </c>
      <c r="B8" s="10" t="n">
        <v>69</v>
      </c>
      <c r="C8" s="10"/>
      <c r="D8" s="10" t="s">
        <v>53</v>
      </c>
      <c r="E8" s="10" t="s">
        <v>51</v>
      </c>
      <c r="F8" s="10" t="s">
        <v>48</v>
      </c>
      <c r="G8" s="11" t="n">
        <v>46166.4166666667</v>
      </c>
      <c r="H8" s="11" t="n">
        <f aca="false">G8-TIME(4,0,0)</f>
        <v>46166.25</v>
      </c>
      <c r="I8" s="12" t="n">
        <f aca="false">INT(H8)</f>
        <v>46166</v>
      </c>
      <c r="J8" s="10" t="s">
        <v>49</v>
      </c>
      <c r="K8" s="10"/>
      <c r="L8" s="10"/>
      <c r="M8" s="10"/>
      <c r="N8" s="11"/>
      <c r="O8" s="11" t="str">
        <f aca="false">IF(N8="","",N8-TIME(4,0,0))</f>
        <v/>
      </c>
      <c r="P8" s="13" t="str">
        <f aca="false">IF(N8="","",ROUND((N8-G8)*1440,1))</f>
        <v/>
      </c>
      <c r="Q8" s="10" t="str">
        <f aca="false">IF(N8="","No","Yes")</f>
        <v>No</v>
      </c>
    </row>
    <row r="9" customFormat="false" ht="15" hidden="false" customHeight="false" outlineLevel="0" collapsed="false">
      <c r="A9" s="10" t="s">
        <v>45</v>
      </c>
      <c r="B9" s="10" t="n">
        <v>70</v>
      </c>
      <c r="C9" s="10"/>
      <c r="D9" s="10" t="s">
        <v>57</v>
      </c>
      <c r="E9" s="10" t="s">
        <v>52</v>
      </c>
      <c r="F9" s="10" t="s">
        <v>48</v>
      </c>
      <c r="G9" s="11" t="n">
        <v>46166.5833333333</v>
      </c>
      <c r="H9" s="11" t="n">
        <f aca="false">G9-TIME(4,0,0)</f>
        <v>46166.4166666667</v>
      </c>
      <c r="I9" s="12" t="n">
        <f aca="false">INT(H9)</f>
        <v>46166</v>
      </c>
      <c r="J9" s="10" t="s">
        <v>49</v>
      </c>
      <c r="K9" s="10"/>
      <c r="L9" s="10"/>
      <c r="M9" s="10"/>
      <c r="N9" s="11"/>
      <c r="O9" s="11" t="str">
        <f aca="false">IF(N9="","",N9-TIME(4,0,0))</f>
        <v/>
      </c>
      <c r="P9" s="13" t="str">
        <f aca="false">IF(N9="","",ROUND((N9-G9)*1440,1))</f>
        <v/>
      </c>
      <c r="Q9" s="10" t="str">
        <f aca="false">IF(N9="","No","Yes")</f>
        <v>No</v>
      </c>
    </row>
    <row r="10" customFormat="false" ht="15" hidden="false" customHeight="false" outlineLevel="0" collapsed="false">
      <c r="A10" s="10" t="s">
        <v>45</v>
      </c>
      <c r="B10" s="10" t="n">
        <v>71</v>
      </c>
      <c r="C10" s="10"/>
      <c r="D10" s="10" t="s">
        <v>54</v>
      </c>
      <c r="E10" s="10" t="s">
        <v>55</v>
      </c>
      <c r="F10" s="10" t="s">
        <v>48</v>
      </c>
      <c r="G10" s="11" t="n">
        <v>46168.5833333333</v>
      </c>
      <c r="H10" s="11" t="n">
        <f aca="false">G10-TIME(4,0,0)</f>
        <v>46168.4166666667</v>
      </c>
      <c r="I10" s="12" t="n">
        <f aca="false">INT(H10)</f>
        <v>46168</v>
      </c>
      <c r="J10" s="10" t="s">
        <v>49</v>
      </c>
      <c r="K10" s="10"/>
      <c r="L10" s="10"/>
      <c r="M10" s="10"/>
      <c r="N10" s="11"/>
      <c r="O10" s="11" t="str">
        <f aca="false">IF(N10="","",N10-TIME(4,0,0))</f>
        <v/>
      </c>
      <c r="P10" s="13" t="str">
        <f aca="false">IF(N10="","",ROUND((N10-G10)*1440,1))</f>
        <v/>
      </c>
      <c r="Q10" s="10" t="str">
        <f aca="false">IF(N10="","No","Yes")</f>
        <v>No</v>
      </c>
    </row>
    <row r="11" customFormat="false" ht="15" hidden="false" customHeight="false" outlineLevel="0" collapsed="false">
      <c r="A11" s="10" t="s">
        <v>45</v>
      </c>
      <c r="B11" s="10" t="n">
        <v>72</v>
      </c>
      <c r="C11" s="10"/>
      <c r="D11" s="10" t="s">
        <v>51</v>
      </c>
      <c r="E11" s="10" t="s">
        <v>47</v>
      </c>
      <c r="F11" s="10" t="s">
        <v>48</v>
      </c>
      <c r="G11" s="11" t="n">
        <v>46169.5833333333</v>
      </c>
      <c r="H11" s="11" t="n">
        <f aca="false">G11-TIME(4,0,0)</f>
        <v>46169.4166666667</v>
      </c>
      <c r="I11" s="12" t="n">
        <f aca="false">INT(H11)</f>
        <v>46169</v>
      </c>
      <c r="J11" s="10" t="s">
        <v>49</v>
      </c>
      <c r="K11" s="10"/>
      <c r="L11" s="10"/>
      <c r="M11" s="10"/>
      <c r="N11" s="11"/>
      <c r="O11" s="11" t="str">
        <f aca="false">IF(N11="","",N11-TIME(4,0,0))</f>
        <v/>
      </c>
      <c r="P11" s="13" t="str">
        <f aca="false">IF(N11="","",ROUND((N11-G11)*1440,1))</f>
        <v/>
      </c>
      <c r="Q11" s="10" t="str">
        <f aca="false">IF(N11="","No","Yes")</f>
        <v>No</v>
      </c>
    </row>
    <row r="12" customFormat="false" ht="15" hidden="false" customHeight="false" outlineLevel="0" collapsed="false">
      <c r="A12" s="10" t="s">
        <v>45</v>
      </c>
      <c r="B12" s="10" t="n">
        <v>73</v>
      </c>
      <c r="C12" s="10"/>
      <c r="D12" s="10" t="s">
        <v>54</v>
      </c>
      <c r="E12" s="10" t="s">
        <v>51</v>
      </c>
      <c r="F12" s="10" t="s">
        <v>48</v>
      </c>
      <c r="G12" s="11" t="n">
        <v>46171.5833333333</v>
      </c>
      <c r="H12" s="11" t="n">
        <f aca="false">G12-TIME(4,0,0)</f>
        <v>46171.4166666667</v>
      </c>
      <c r="I12" s="12" t="n">
        <f aca="false">INT(H12)</f>
        <v>46171</v>
      </c>
      <c r="J12" s="10" t="s">
        <v>49</v>
      </c>
      <c r="K12" s="10"/>
      <c r="L12" s="10"/>
      <c r="M12" s="10"/>
      <c r="N12" s="11"/>
      <c r="O12" s="11" t="str">
        <f aca="false">IF(N12="","",N12-TIME(4,0,0))</f>
        <v/>
      </c>
      <c r="P12" s="13" t="str">
        <f aca="false">IF(N12="","",ROUND((N12-G12)*1440,1))</f>
        <v/>
      </c>
      <c r="Q12" s="10" t="str">
        <f aca="false">IF(N12="","No","Yes")</f>
        <v>No</v>
      </c>
    </row>
    <row r="13" customFormat="false" ht="15" hidden="false" customHeight="false" outlineLevel="0" collapsed="false">
      <c r="A13" s="10" t="s">
        <v>45</v>
      </c>
      <c r="B13" s="10" t="n">
        <v>74</v>
      </c>
      <c r="C13" s="10"/>
      <c r="D13" s="10" t="s">
        <v>55</v>
      </c>
      <c r="E13" s="10" t="s">
        <v>54</v>
      </c>
      <c r="F13" s="10" t="s">
        <v>48</v>
      </c>
      <c r="G13" s="11" t="n">
        <v>46173.5833333333</v>
      </c>
      <c r="H13" s="11" t="n">
        <f aca="false">G13-TIME(4,0,0)</f>
        <v>46173.4166666667</v>
      </c>
      <c r="I13" s="12" t="n">
        <f aca="false">INT(H13)</f>
        <v>46173</v>
      </c>
      <c r="J13" s="10" t="s">
        <v>49</v>
      </c>
      <c r="K13" s="10"/>
      <c r="L13" s="10"/>
      <c r="M13" s="10"/>
      <c r="N13" s="11"/>
      <c r="O13" s="11" t="str">
        <f aca="false">IF(N13="","",N13-TIME(4,0,0))</f>
        <v/>
      </c>
      <c r="P13" s="13" t="str">
        <f aca="false">IF(N13="","",ROUND((N13-G13)*1440,1))</f>
        <v/>
      </c>
      <c r="Q13" s="10" t="str">
        <f aca="false">IF(N13="","No","Yes")</f>
        <v>No</v>
      </c>
    </row>
    <row r="14" customFormat="false" ht="15" hidden="false" customHeight="false" outlineLevel="0" collapsed="false">
      <c r="A14" s="10" t="s">
        <v>58</v>
      </c>
      <c r="B14" s="10" t="n">
        <v>1</v>
      </c>
      <c r="C14" s="10"/>
      <c r="D14" s="10" t="s">
        <v>59</v>
      </c>
      <c r="E14" s="10" t="s">
        <v>60</v>
      </c>
      <c r="F14" s="10" t="s">
        <v>48</v>
      </c>
      <c r="G14" s="11" t="n">
        <v>46185.7291666667</v>
      </c>
      <c r="H14" s="11" t="n">
        <f aca="false">G14-TIME(4,0,0)</f>
        <v>46185.5625</v>
      </c>
      <c r="I14" s="12" t="n">
        <f aca="false">INT(H14)</f>
        <v>46185</v>
      </c>
      <c r="J14" s="10" t="s">
        <v>49</v>
      </c>
      <c r="K14" s="10"/>
      <c r="L14" s="10"/>
      <c r="M14" s="10"/>
      <c r="N14" s="11"/>
      <c r="O14" s="11" t="str">
        <f aca="false">IF(N14="","",N14-TIME(4,0,0))</f>
        <v/>
      </c>
      <c r="P14" s="13" t="str">
        <f aca="false">IF(N14="","",ROUND((N14-G14)*1440,1))</f>
        <v/>
      </c>
      <c r="Q14" s="10" t="str">
        <f aca="false">IF(N14="","No","Yes")</f>
        <v>No</v>
      </c>
    </row>
    <row r="15" customFormat="false" ht="15" hidden="false" customHeight="false" outlineLevel="0" collapsed="false">
      <c r="A15" s="10" t="s">
        <v>58</v>
      </c>
      <c r="B15" s="10" t="n">
        <v>2</v>
      </c>
      <c r="C15" s="10"/>
      <c r="D15" s="10" t="s">
        <v>61</v>
      </c>
      <c r="E15" s="10" t="s">
        <v>62</v>
      </c>
      <c r="F15" s="10" t="s">
        <v>48</v>
      </c>
      <c r="G15" s="11" t="n">
        <v>46186.3958333333</v>
      </c>
      <c r="H15" s="11" t="n">
        <f aca="false">G15-TIME(4,0,0)</f>
        <v>46186.2291666667</v>
      </c>
      <c r="I15" s="12" t="n">
        <f aca="false">INT(H15)</f>
        <v>46186</v>
      </c>
      <c r="J15" s="10" t="s">
        <v>49</v>
      </c>
      <c r="K15" s="10"/>
      <c r="L15" s="10"/>
      <c r="M15" s="10"/>
      <c r="N15" s="11"/>
      <c r="O15" s="11" t="str">
        <f aca="false">IF(N15="","",N15-TIME(4,0,0))</f>
        <v/>
      </c>
      <c r="P15" s="13" t="str">
        <f aca="false">IF(N15="","",ROUND((N15-G15)*1440,1))</f>
        <v/>
      </c>
      <c r="Q15" s="10" t="str">
        <f aca="false">IF(N15="","No","Yes")</f>
        <v>No</v>
      </c>
    </row>
    <row r="16" customFormat="false" ht="15" hidden="false" customHeight="false" outlineLevel="0" collapsed="false">
      <c r="A16" s="10" t="s">
        <v>58</v>
      </c>
      <c r="B16" s="10" t="n">
        <v>3</v>
      </c>
      <c r="C16" s="10"/>
      <c r="D16" s="10" t="s">
        <v>63</v>
      </c>
      <c r="E16" s="10" t="s">
        <v>64</v>
      </c>
      <c r="F16" s="10" t="s">
        <v>48</v>
      </c>
      <c r="G16" s="11" t="n">
        <v>46186.5625</v>
      </c>
      <c r="H16" s="11" t="n">
        <f aca="false">G16-TIME(4,0,0)</f>
        <v>46186.3958333333</v>
      </c>
      <c r="I16" s="12" t="n">
        <f aca="false">INT(H16)</f>
        <v>46186</v>
      </c>
      <c r="J16" s="10" t="s">
        <v>49</v>
      </c>
      <c r="K16" s="10"/>
      <c r="L16" s="10"/>
      <c r="M16" s="10"/>
      <c r="N16" s="11"/>
      <c r="O16" s="11" t="str">
        <f aca="false">IF(N16="","",N16-TIME(4,0,0))</f>
        <v/>
      </c>
      <c r="P16" s="13" t="str">
        <f aca="false">IF(N16="","",ROUND((N16-G16)*1440,1))</f>
        <v/>
      </c>
      <c r="Q16" s="10" t="str">
        <f aca="false">IF(N16="","No","Yes")</f>
        <v>No</v>
      </c>
    </row>
    <row r="17" customFormat="false" ht="15" hidden="false" customHeight="false" outlineLevel="0" collapsed="false">
      <c r="A17" s="10" t="s">
        <v>58</v>
      </c>
      <c r="B17" s="10" t="n">
        <v>4</v>
      </c>
      <c r="C17" s="10"/>
      <c r="D17" s="10" t="s">
        <v>65</v>
      </c>
      <c r="E17" s="10" t="s">
        <v>66</v>
      </c>
      <c r="F17" s="10" t="s">
        <v>48</v>
      </c>
      <c r="G17" s="11" t="n">
        <v>46186.7291666667</v>
      </c>
      <c r="H17" s="11" t="n">
        <f aca="false">G17-TIME(4,0,0)</f>
        <v>46186.5625</v>
      </c>
      <c r="I17" s="12" t="n">
        <f aca="false">INT(H17)</f>
        <v>46186</v>
      </c>
      <c r="J17" s="10" t="s">
        <v>49</v>
      </c>
      <c r="K17" s="10"/>
      <c r="L17" s="10"/>
      <c r="M17" s="10"/>
      <c r="N17" s="11"/>
      <c r="O17" s="11" t="str">
        <f aca="false">IF(N17="","",N17-TIME(4,0,0))</f>
        <v/>
      </c>
      <c r="P17" s="13" t="str">
        <f aca="false">IF(N17="","",ROUND((N17-G17)*1440,1))</f>
        <v/>
      </c>
      <c r="Q17" s="10" t="str">
        <f aca="false">IF(N17="","No","Yes")</f>
        <v>No</v>
      </c>
    </row>
    <row r="18" customFormat="false" ht="15" hidden="false" customHeight="false" outlineLevel="0" collapsed="false">
      <c r="A18" s="10" t="s">
        <v>58</v>
      </c>
      <c r="B18" s="10" t="n">
        <v>5</v>
      </c>
      <c r="C18" s="10"/>
      <c r="D18" s="10" t="s">
        <v>67</v>
      </c>
      <c r="E18" s="10" t="s">
        <v>68</v>
      </c>
      <c r="F18" s="10" t="s">
        <v>48</v>
      </c>
      <c r="G18" s="11" t="n">
        <v>46187.3958333333</v>
      </c>
      <c r="H18" s="11" t="n">
        <f aca="false">G18-TIME(4,0,0)</f>
        <v>46187.2291666667</v>
      </c>
      <c r="I18" s="12" t="n">
        <f aca="false">INT(H18)</f>
        <v>46187</v>
      </c>
      <c r="J18" s="10" t="s">
        <v>49</v>
      </c>
      <c r="K18" s="10"/>
      <c r="L18" s="10"/>
      <c r="M18" s="10"/>
      <c r="N18" s="11"/>
      <c r="O18" s="11" t="str">
        <f aca="false">IF(N18="","",N18-TIME(4,0,0))</f>
        <v/>
      </c>
      <c r="P18" s="13" t="str">
        <f aca="false">IF(N18="","",ROUND((N18-G18)*1440,1))</f>
        <v/>
      </c>
      <c r="Q18" s="10" t="str">
        <f aca="false">IF(N18="","No","Yes")</f>
        <v>No</v>
      </c>
    </row>
    <row r="19" customFormat="false" ht="15" hidden="false" customHeight="false" outlineLevel="0" collapsed="false">
      <c r="A19" s="10" t="s">
        <v>58</v>
      </c>
      <c r="B19" s="10" t="n">
        <v>6</v>
      </c>
      <c r="C19" s="10"/>
      <c r="D19" s="10" t="s">
        <v>69</v>
      </c>
      <c r="E19" s="10" t="s">
        <v>70</v>
      </c>
      <c r="F19" s="10" t="s">
        <v>48</v>
      </c>
      <c r="G19" s="11" t="n">
        <v>46187.5625</v>
      </c>
      <c r="H19" s="11" t="n">
        <f aca="false">G19-TIME(4,0,0)</f>
        <v>46187.3958333333</v>
      </c>
      <c r="I19" s="12" t="n">
        <f aca="false">INT(H19)</f>
        <v>46187</v>
      </c>
      <c r="J19" s="10" t="s">
        <v>49</v>
      </c>
      <c r="K19" s="10"/>
      <c r="L19" s="10"/>
      <c r="M19" s="10"/>
      <c r="N19" s="11"/>
      <c r="O19" s="11" t="str">
        <f aca="false">IF(N19="","",N19-TIME(4,0,0))</f>
        <v/>
      </c>
      <c r="P19" s="13" t="str">
        <f aca="false">IF(N19="","",ROUND((N19-G19)*1440,1))</f>
        <v/>
      </c>
      <c r="Q19" s="10" t="str">
        <f aca="false">IF(N19="","No","Yes")</f>
        <v>No</v>
      </c>
    </row>
    <row r="20" customFormat="false" ht="15" hidden="false" customHeight="false" outlineLevel="0" collapsed="false">
      <c r="A20" s="10" t="s">
        <v>58</v>
      </c>
      <c r="B20" s="10" t="n">
        <v>7</v>
      </c>
      <c r="C20" s="10"/>
      <c r="D20" s="10" t="s">
        <v>65</v>
      </c>
      <c r="E20" s="10" t="s">
        <v>60</v>
      </c>
      <c r="F20" s="10" t="s">
        <v>48</v>
      </c>
      <c r="G20" s="11" t="n">
        <v>46189.5625</v>
      </c>
      <c r="H20" s="11" t="n">
        <f aca="false">G20-TIME(4,0,0)</f>
        <v>46189.3958333333</v>
      </c>
      <c r="I20" s="12" t="n">
        <f aca="false">INT(H20)</f>
        <v>46189</v>
      </c>
      <c r="J20" s="10" t="s">
        <v>49</v>
      </c>
      <c r="K20" s="10"/>
      <c r="L20" s="10"/>
      <c r="M20" s="10"/>
      <c r="N20" s="11"/>
      <c r="O20" s="11" t="str">
        <f aca="false">IF(N20="","",N20-TIME(4,0,0))</f>
        <v/>
      </c>
      <c r="P20" s="13" t="str">
        <f aca="false">IF(N20="","",ROUND((N20-G20)*1440,1))</f>
        <v/>
      </c>
      <c r="Q20" s="10" t="str">
        <f aca="false">IF(N20="","No","Yes")</f>
        <v>No</v>
      </c>
    </row>
    <row r="21" customFormat="false" ht="15" hidden="false" customHeight="false" outlineLevel="0" collapsed="false">
      <c r="A21" s="10" t="s">
        <v>58</v>
      </c>
      <c r="B21" s="10" t="n">
        <v>8</v>
      </c>
      <c r="C21" s="10"/>
      <c r="D21" s="10" t="s">
        <v>59</v>
      </c>
      <c r="E21" s="10" t="s">
        <v>61</v>
      </c>
      <c r="F21" s="10" t="s">
        <v>48</v>
      </c>
      <c r="G21" s="11" t="n">
        <v>46189.7291666667</v>
      </c>
      <c r="H21" s="11" t="n">
        <f aca="false">G21-TIME(4,0,0)</f>
        <v>46189.5625</v>
      </c>
      <c r="I21" s="12" t="n">
        <f aca="false">INT(H21)</f>
        <v>46189</v>
      </c>
      <c r="J21" s="10" t="s">
        <v>49</v>
      </c>
      <c r="K21" s="10"/>
      <c r="L21" s="10"/>
      <c r="M21" s="10"/>
      <c r="N21" s="11"/>
      <c r="O21" s="11" t="str">
        <f aca="false">IF(N21="","",N21-TIME(4,0,0))</f>
        <v/>
      </c>
      <c r="P21" s="13" t="str">
        <f aca="false">IF(N21="","",ROUND((N21-G21)*1440,1))</f>
        <v/>
      </c>
      <c r="Q21" s="10" t="str">
        <f aca="false">IF(N21="","No","Yes")</f>
        <v>No</v>
      </c>
    </row>
    <row r="22" customFormat="false" ht="15" hidden="false" customHeight="false" outlineLevel="0" collapsed="false">
      <c r="A22" s="10" t="s">
        <v>58</v>
      </c>
      <c r="B22" s="10" t="n">
        <v>9</v>
      </c>
      <c r="C22" s="10"/>
      <c r="D22" s="10" t="s">
        <v>63</v>
      </c>
      <c r="E22" s="10" t="s">
        <v>67</v>
      </c>
      <c r="F22" s="10" t="s">
        <v>48</v>
      </c>
      <c r="G22" s="11" t="n">
        <v>46190.3958333333</v>
      </c>
      <c r="H22" s="11" t="n">
        <f aca="false">G22-TIME(4,0,0)</f>
        <v>46190.2291666667</v>
      </c>
      <c r="I22" s="12" t="n">
        <f aca="false">INT(H22)</f>
        <v>46190</v>
      </c>
      <c r="J22" s="10" t="s">
        <v>49</v>
      </c>
      <c r="K22" s="10"/>
      <c r="L22" s="10"/>
      <c r="M22" s="10"/>
      <c r="N22" s="11"/>
      <c r="O22" s="11" t="str">
        <f aca="false">IF(N22="","",N22-TIME(4,0,0))</f>
        <v/>
      </c>
      <c r="P22" s="13" t="str">
        <f aca="false">IF(N22="","",ROUND((N22-G22)*1440,1))</f>
        <v/>
      </c>
      <c r="Q22" s="10" t="str">
        <f aca="false">IF(N22="","No","Yes")</f>
        <v>No</v>
      </c>
    </row>
    <row r="23" customFormat="false" ht="15" hidden="false" customHeight="false" outlineLevel="0" collapsed="false">
      <c r="A23" s="10" t="s">
        <v>58</v>
      </c>
      <c r="B23" s="10" t="n">
        <v>10</v>
      </c>
      <c r="C23" s="10"/>
      <c r="D23" s="10" t="s">
        <v>69</v>
      </c>
      <c r="E23" s="10" t="s">
        <v>68</v>
      </c>
      <c r="F23" s="10" t="s">
        <v>48</v>
      </c>
      <c r="G23" s="11" t="n">
        <v>46190.5625</v>
      </c>
      <c r="H23" s="11" t="n">
        <f aca="false">G23-TIME(4,0,0)</f>
        <v>46190.3958333333</v>
      </c>
      <c r="I23" s="12" t="n">
        <f aca="false">INT(H23)</f>
        <v>46190</v>
      </c>
      <c r="J23" s="10" t="s">
        <v>49</v>
      </c>
      <c r="K23" s="10"/>
      <c r="L23" s="10"/>
      <c r="M23" s="10"/>
      <c r="N23" s="11"/>
      <c r="O23" s="11" t="str">
        <f aca="false">IF(N23="","",N23-TIME(4,0,0))</f>
        <v/>
      </c>
      <c r="P23" s="13" t="str">
        <f aca="false">IF(N23="","",ROUND((N23-G23)*1440,1))</f>
        <v/>
      </c>
      <c r="Q23" s="10" t="str">
        <f aca="false">IF(N23="","No","Yes")</f>
        <v>No</v>
      </c>
    </row>
    <row r="24" customFormat="false" ht="15" hidden="false" customHeight="false" outlineLevel="0" collapsed="false">
      <c r="A24" s="10" t="s">
        <v>58</v>
      </c>
      <c r="B24" s="10" t="n">
        <v>11</v>
      </c>
      <c r="C24" s="10"/>
      <c r="D24" s="10" t="s">
        <v>70</v>
      </c>
      <c r="E24" s="10" t="s">
        <v>64</v>
      </c>
      <c r="F24" s="10" t="s">
        <v>48</v>
      </c>
      <c r="G24" s="11" t="n">
        <v>46190.7291666667</v>
      </c>
      <c r="H24" s="11" t="n">
        <f aca="false">G24-TIME(4,0,0)</f>
        <v>46190.5625</v>
      </c>
      <c r="I24" s="12" t="n">
        <f aca="false">INT(H24)</f>
        <v>46190</v>
      </c>
      <c r="J24" s="10" t="s">
        <v>49</v>
      </c>
      <c r="K24" s="10"/>
      <c r="L24" s="10"/>
      <c r="M24" s="10"/>
      <c r="N24" s="11"/>
      <c r="O24" s="11" t="str">
        <f aca="false">IF(N24="","",N24-TIME(4,0,0))</f>
        <v/>
      </c>
      <c r="P24" s="13" t="str">
        <f aca="false">IF(N24="","",ROUND((N24-G24)*1440,1))</f>
        <v/>
      </c>
      <c r="Q24" s="10" t="str">
        <f aca="false">IF(N24="","No","Yes")</f>
        <v>No</v>
      </c>
    </row>
    <row r="25" customFormat="false" ht="15" hidden="false" customHeight="false" outlineLevel="0" collapsed="false">
      <c r="A25" s="10" t="s">
        <v>58</v>
      </c>
      <c r="B25" s="10" t="n">
        <v>12</v>
      </c>
      <c r="C25" s="10"/>
      <c r="D25" s="10" t="s">
        <v>62</v>
      </c>
      <c r="E25" s="10" t="s">
        <v>66</v>
      </c>
      <c r="F25" s="10" t="s">
        <v>48</v>
      </c>
      <c r="G25" s="11" t="n">
        <v>46191.7291666667</v>
      </c>
      <c r="H25" s="11" t="n">
        <f aca="false">G25-TIME(4,0,0)</f>
        <v>46191.5625</v>
      </c>
      <c r="I25" s="12" t="n">
        <f aca="false">INT(H25)</f>
        <v>46191</v>
      </c>
      <c r="J25" s="10" t="s">
        <v>49</v>
      </c>
      <c r="K25" s="10"/>
      <c r="L25" s="10"/>
      <c r="M25" s="10"/>
      <c r="N25" s="11"/>
      <c r="O25" s="11" t="str">
        <f aca="false">IF(N25="","",N25-TIME(4,0,0))</f>
        <v/>
      </c>
      <c r="P25" s="13" t="str">
        <f aca="false">IF(N25="","",ROUND((N25-G25)*1440,1))</f>
        <v/>
      </c>
      <c r="Q25" s="10" t="str">
        <f aca="false">IF(N25="","No","Yes")</f>
        <v>No</v>
      </c>
    </row>
    <row r="26" customFormat="false" ht="15" hidden="false" customHeight="false" outlineLevel="0" collapsed="false">
      <c r="A26" s="10" t="s">
        <v>71</v>
      </c>
      <c r="B26" s="10" t="n">
        <v>1</v>
      </c>
      <c r="C26" s="10"/>
      <c r="D26" s="10" t="s">
        <v>72</v>
      </c>
      <c r="E26" s="10" t="s">
        <v>73</v>
      </c>
      <c r="F26" s="10" t="s">
        <v>48</v>
      </c>
      <c r="G26" s="11" t="n">
        <v>46192.0208333333</v>
      </c>
      <c r="H26" s="11" t="n">
        <f aca="false">G26-TIME(4,0,0)</f>
        <v>46191.8541666667</v>
      </c>
      <c r="I26" s="12" t="n">
        <f aca="false">INT(H26)</f>
        <v>46191</v>
      </c>
      <c r="J26" s="10" t="s">
        <v>49</v>
      </c>
      <c r="K26" s="10"/>
      <c r="L26" s="10"/>
      <c r="M26" s="10"/>
      <c r="N26" s="11"/>
      <c r="O26" s="11" t="str">
        <f aca="false">IF(N26="","",N26-TIME(4,0,0))</f>
        <v/>
      </c>
      <c r="P26" s="13" t="str">
        <f aca="false">IF(N26="","",ROUND((N26-G26)*1440,1))</f>
        <v/>
      </c>
      <c r="Q26" s="10" t="str">
        <f aca="false">IF(N26="","No","Yes")</f>
        <v>No</v>
      </c>
    </row>
    <row r="27" customFormat="false" ht="15" hidden="false" customHeight="false" outlineLevel="0" collapsed="false">
      <c r="A27" s="10" t="s">
        <v>58</v>
      </c>
      <c r="B27" s="10" t="n">
        <v>13</v>
      </c>
      <c r="C27" s="10"/>
      <c r="D27" s="10" t="s">
        <v>61</v>
      </c>
      <c r="E27" s="10" t="s">
        <v>65</v>
      </c>
      <c r="F27" s="10" t="s">
        <v>48</v>
      </c>
      <c r="G27" s="11" t="n">
        <v>46192.7291666667</v>
      </c>
      <c r="H27" s="11" t="n">
        <f aca="false">G27-TIME(4,0,0)</f>
        <v>46192.5625</v>
      </c>
      <c r="I27" s="12" t="n">
        <f aca="false">INT(H27)</f>
        <v>46192</v>
      </c>
      <c r="J27" s="10" t="s">
        <v>49</v>
      </c>
      <c r="K27" s="10"/>
      <c r="L27" s="10"/>
      <c r="M27" s="10"/>
      <c r="N27" s="11"/>
      <c r="O27" s="11" t="str">
        <f aca="false">IF(N27="","",N27-TIME(4,0,0))</f>
        <v/>
      </c>
      <c r="P27" s="13" t="str">
        <f aca="false">IF(N27="","",ROUND((N27-G27)*1440,1))</f>
        <v/>
      </c>
      <c r="Q27" s="10" t="str">
        <f aca="false">IF(N27="","No","Yes")</f>
        <v>No</v>
      </c>
    </row>
    <row r="28" customFormat="false" ht="15" hidden="false" customHeight="false" outlineLevel="0" collapsed="false">
      <c r="A28" s="10" t="s">
        <v>71</v>
      </c>
      <c r="B28" s="10" t="n">
        <v>2</v>
      </c>
      <c r="C28" s="10"/>
      <c r="D28" s="10" t="s">
        <v>74</v>
      </c>
      <c r="E28" s="10" t="s">
        <v>75</v>
      </c>
      <c r="F28" s="10" t="s">
        <v>48</v>
      </c>
      <c r="G28" s="11" t="n">
        <v>46192.8541666667</v>
      </c>
      <c r="H28" s="11" t="n">
        <f aca="false">G28-TIME(4,0,0)</f>
        <v>46192.6875</v>
      </c>
      <c r="I28" s="12" t="n">
        <f aca="false">INT(H28)</f>
        <v>46192</v>
      </c>
      <c r="J28" s="10" t="s">
        <v>49</v>
      </c>
      <c r="K28" s="10"/>
      <c r="L28" s="10"/>
      <c r="M28" s="10"/>
      <c r="N28" s="11"/>
      <c r="O28" s="11" t="str">
        <f aca="false">IF(N28="","",N28-TIME(4,0,0))</f>
        <v/>
      </c>
      <c r="P28" s="13" t="str">
        <f aca="false">IF(N28="","",ROUND((N28-G28)*1440,1))</f>
        <v/>
      </c>
      <c r="Q28" s="10" t="str">
        <f aca="false">IF(N28="","No","Yes")</f>
        <v>No</v>
      </c>
    </row>
    <row r="29" customFormat="false" ht="15" hidden="false" customHeight="false" outlineLevel="0" collapsed="false">
      <c r="A29" s="10" t="s">
        <v>71</v>
      </c>
      <c r="B29" s="10" t="n">
        <v>3</v>
      </c>
      <c r="C29" s="10"/>
      <c r="D29" s="10" t="s">
        <v>72</v>
      </c>
      <c r="E29" s="10" t="s">
        <v>76</v>
      </c>
      <c r="F29" s="10" t="s">
        <v>48</v>
      </c>
      <c r="G29" s="11" t="n">
        <v>46193.0520833333</v>
      </c>
      <c r="H29" s="11" t="n">
        <f aca="false">G29-TIME(4,0,0)</f>
        <v>46192.8854166667</v>
      </c>
      <c r="I29" s="12" t="n">
        <f aca="false">INT(H29)</f>
        <v>46192</v>
      </c>
      <c r="J29" s="10" t="s">
        <v>49</v>
      </c>
      <c r="K29" s="10"/>
      <c r="L29" s="10"/>
      <c r="M29" s="10"/>
      <c r="N29" s="11"/>
      <c r="O29" s="11" t="str">
        <f aca="false">IF(N29="","",N29-TIME(4,0,0))</f>
        <v/>
      </c>
      <c r="P29" s="13" t="str">
        <f aca="false">IF(N29="","",ROUND((N29-G29)*1440,1))</f>
        <v/>
      </c>
      <c r="Q29" s="10" t="str">
        <f aca="false">IF(N29="","No","Yes")</f>
        <v>No</v>
      </c>
    </row>
    <row r="30" customFormat="false" ht="15" hidden="false" customHeight="false" outlineLevel="0" collapsed="false">
      <c r="A30" s="10" t="s">
        <v>58</v>
      </c>
      <c r="B30" s="10" t="n">
        <v>14</v>
      </c>
      <c r="C30" s="10"/>
      <c r="D30" s="10" t="s">
        <v>63</v>
      </c>
      <c r="E30" s="10" t="s">
        <v>68</v>
      </c>
      <c r="F30" s="10" t="s">
        <v>48</v>
      </c>
      <c r="G30" s="11" t="n">
        <v>46193.3958333333</v>
      </c>
      <c r="H30" s="11" t="n">
        <f aca="false">G30-TIME(4,0,0)</f>
        <v>46193.2291666667</v>
      </c>
      <c r="I30" s="12" t="n">
        <f aca="false">INT(H30)</f>
        <v>46193</v>
      </c>
      <c r="J30" s="10" t="s">
        <v>49</v>
      </c>
      <c r="K30" s="10"/>
      <c r="L30" s="10"/>
      <c r="M30" s="10"/>
      <c r="N30" s="11"/>
      <c r="O30" s="11" t="str">
        <f aca="false">IF(N30="","",N30-TIME(4,0,0))</f>
        <v/>
      </c>
      <c r="P30" s="13" t="str">
        <f aca="false">IF(N30="","",ROUND((N30-G30)*1440,1))</f>
        <v/>
      </c>
      <c r="Q30" s="10" t="str">
        <f aca="false">IF(N30="","No","Yes")</f>
        <v>No</v>
      </c>
    </row>
    <row r="31" customFormat="false" ht="15" hidden="false" customHeight="false" outlineLevel="0" collapsed="false">
      <c r="A31" s="10" t="s">
        <v>58</v>
      </c>
      <c r="B31" s="10" t="n">
        <v>15</v>
      </c>
      <c r="C31" s="10"/>
      <c r="D31" s="10" t="s">
        <v>67</v>
      </c>
      <c r="E31" s="10" t="s">
        <v>70</v>
      </c>
      <c r="F31" s="10" t="s">
        <v>48</v>
      </c>
      <c r="G31" s="11" t="n">
        <v>46193.5625</v>
      </c>
      <c r="H31" s="11" t="n">
        <f aca="false">G31-TIME(4,0,0)</f>
        <v>46193.3958333333</v>
      </c>
      <c r="I31" s="12" t="n">
        <f aca="false">INT(H31)</f>
        <v>46193</v>
      </c>
      <c r="J31" s="10" t="s">
        <v>49</v>
      </c>
      <c r="K31" s="10"/>
      <c r="L31" s="10"/>
      <c r="M31" s="10"/>
      <c r="N31" s="11"/>
      <c r="O31" s="11" t="str">
        <f aca="false">IF(N31="","",N31-TIME(4,0,0))</f>
        <v/>
      </c>
      <c r="P31" s="13" t="str">
        <f aca="false">IF(N31="","",ROUND((N31-G31)*1440,1))</f>
        <v/>
      </c>
      <c r="Q31" s="10" t="str">
        <f aca="false">IF(N31="","No","Yes")</f>
        <v>No</v>
      </c>
    </row>
    <row r="32" customFormat="false" ht="15" hidden="false" customHeight="false" outlineLevel="0" collapsed="false">
      <c r="A32" s="10" t="s">
        <v>58</v>
      </c>
      <c r="B32" s="10" t="n">
        <v>16</v>
      </c>
      <c r="C32" s="10"/>
      <c r="D32" s="10" t="s">
        <v>59</v>
      </c>
      <c r="E32" s="10" t="s">
        <v>62</v>
      </c>
      <c r="F32" s="10" t="s">
        <v>48</v>
      </c>
      <c r="G32" s="11" t="n">
        <v>46193.7291666667</v>
      </c>
      <c r="H32" s="11" t="n">
        <f aca="false">G32-TIME(4,0,0)</f>
        <v>46193.5625</v>
      </c>
      <c r="I32" s="12" t="n">
        <f aca="false">INT(H32)</f>
        <v>46193</v>
      </c>
      <c r="J32" s="10" t="s">
        <v>49</v>
      </c>
      <c r="K32" s="10"/>
      <c r="L32" s="10"/>
      <c r="M32" s="10"/>
      <c r="N32" s="11"/>
      <c r="O32" s="11" t="str">
        <f aca="false">IF(N32="","",N32-TIME(4,0,0))</f>
        <v/>
      </c>
      <c r="P32" s="13" t="str">
        <f aca="false">IF(N32="","",ROUND((N32-G32)*1440,1))</f>
        <v/>
      </c>
      <c r="Q32" s="10" t="str">
        <f aca="false">IF(N32="","No","Yes")</f>
        <v>No</v>
      </c>
    </row>
    <row r="33" customFormat="false" ht="15" hidden="false" customHeight="false" outlineLevel="0" collapsed="false">
      <c r="A33" s="10" t="s">
        <v>71</v>
      </c>
      <c r="B33" s="10" t="n">
        <v>4</v>
      </c>
      <c r="C33" s="10"/>
      <c r="D33" s="10" t="s">
        <v>75</v>
      </c>
      <c r="E33" s="10" t="s">
        <v>73</v>
      </c>
      <c r="F33" s="10" t="s">
        <v>48</v>
      </c>
      <c r="G33" s="11" t="n">
        <v>46193.8541666667</v>
      </c>
      <c r="H33" s="11" t="n">
        <f aca="false">G33-TIME(4,0,0)</f>
        <v>46193.6875</v>
      </c>
      <c r="I33" s="12" t="n">
        <f aca="false">INT(H33)</f>
        <v>46193</v>
      </c>
      <c r="J33" s="10" t="s">
        <v>49</v>
      </c>
      <c r="K33" s="10"/>
      <c r="L33" s="10"/>
      <c r="M33" s="10"/>
      <c r="N33" s="11"/>
      <c r="O33" s="11" t="str">
        <f aca="false">IF(N33="","",N33-TIME(4,0,0))</f>
        <v/>
      </c>
      <c r="P33" s="13" t="str">
        <f aca="false">IF(N33="","",ROUND((N33-G33)*1440,1))</f>
        <v/>
      </c>
      <c r="Q33" s="10" t="str">
        <f aca="false">IF(N33="","No","Yes")</f>
        <v>No</v>
      </c>
    </row>
    <row r="34" customFormat="false" ht="15" hidden="false" customHeight="false" outlineLevel="0" collapsed="false">
      <c r="A34" s="10" t="s">
        <v>71</v>
      </c>
      <c r="B34" s="10" t="n">
        <v>5</v>
      </c>
      <c r="C34" s="10"/>
      <c r="D34" s="10" t="s">
        <v>77</v>
      </c>
      <c r="E34" s="10" t="s">
        <v>76</v>
      </c>
      <c r="F34" s="10" t="s">
        <v>48</v>
      </c>
      <c r="G34" s="11" t="n">
        <v>46194.0208333333</v>
      </c>
      <c r="H34" s="11" t="n">
        <f aca="false">G34-TIME(4,0,0)</f>
        <v>46193.8541666667</v>
      </c>
      <c r="I34" s="12" t="n">
        <f aca="false">INT(H34)</f>
        <v>46193</v>
      </c>
      <c r="J34" s="10" t="s">
        <v>49</v>
      </c>
      <c r="K34" s="10"/>
      <c r="L34" s="10"/>
      <c r="M34" s="10"/>
      <c r="N34" s="11"/>
      <c r="O34" s="11" t="str">
        <f aca="false">IF(N34="","",N34-TIME(4,0,0))</f>
        <v/>
      </c>
      <c r="P34" s="13" t="str">
        <f aca="false">IF(N34="","",ROUND((N34-G34)*1440,1))</f>
        <v/>
      </c>
      <c r="Q34" s="10" t="str">
        <f aca="false">IF(N34="","No","Yes")</f>
        <v>No</v>
      </c>
    </row>
    <row r="35" customFormat="false" ht="15" hidden="false" customHeight="false" outlineLevel="0" collapsed="false">
      <c r="A35" s="10" t="s">
        <v>58</v>
      </c>
      <c r="B35" s="10" t="n">
        <v>17</v>
      </c>
      <c r="C35" s="10"/>
      <c r="D35" s="10" t="s">
        <v>60</v>
      </c>
      <c r="E35" s="10" t="s">
        <v>66</v>
      </c>
      <c r="F35" s="10" t="s">
        <v>48</v>
      </c>
      <c r="G35" s="11" t="n">
        <v>46194.3958333333</v>
      </c>
      <c r="H35" s="11" t="n">
        <f aca="false">G35-TIME(4,0,0)</f>
        <v>46194.2291666667</v>
      </c>
      <c r="I35" s="12" t="n">
        <f aca="false">INT(H35)</f>
        <v>46194</v>
      </c>
      <c r="J35" s="10" t="s">
        <v>49</v>
      </c>
      <c r="K35" s="10"/>
      <c r="L35" s="10"/>
      <c r="M35" s="10"/>
      <c r="N35" s="11"/>
      <c r="O35" s="11" t="str">
        <f aca="false">IF(N35="","",N35-TIME(4,0,0))</f>
        <v/>
      </c>
      <c r="P35" s="13" t="str">
        <f aca="false">IF(N35="","",ROUND((N35-G35)*1440,1))</f>
        <v/>
      </c>
      <c r="Q35" s="10" t="str">
        <f aca="false">IF(N35="","No","Yes")</f>
        <v>No</v>
      </c>
    </row>
    <row r="36" customFormat="false" ht="15" hidden="false" customHeight="false" outlineLevel="0" collapsed="false">
      <c r="A36" s="10" t="s">
        <v>58</v>
      </c>
      <c r="B36" s="10" t="n">
        <v>18</v>
      </c>
      <c r="C36" s="10"/>
      <c r="D36" s="10" t="s">
        <v>69</v>
      </c>
      <c r="E36" s="10" t="s">
        <v>64</v>
      </c>
      <c r="F36" s="10" t="s">
        <v>48</v>
      </c>
      <c r="G36" s="11" t="n">
        <v>46194.5625</v>
      </c>
      <c r="H36" s="11" t="n">
        <f aca="false">G36-TIME(4,0,0)</f>
        <v>46194.3958333333</v>
      </c>
      <c r="I36" s="12" t="n">
        <f aca="false">INT(H36)</f>
        <v>46194</v>
      </c>
      <c r="J36" s="10" t="s">
        <v>49</v>
      </c>
      <c r="K36" s="10"/>
      <c r="L36" s="10"/>
      <c r="M36" s="10"/>
      <c r="N36" s="11"/>
      <c r="O36" s="11" t="str">
        <f aca="false">IF(N36="","",N36-TIME(4,0,0))</f>
        <v/>
      </c>
      <c r="P36" s="13" t="str">
        <f aca="false">IF(N36="","",ROUND((N36-G36)*1440,1))</f>
        <v/>
      </c>
      <c r="Q36" s="10" t="str">
        <f aca="false">IF(N36="","No","Yes")</f>
        <v>No</v>
      </c>
    </row>
    <row r="37" customFormat="false" ht="15" hidden="false" customHeight="false" outlineLevel="0" collapsed="false">
      <c r="A37" s="10" t="s">
        <v>71</v>
      </c>
      <c r="B37" s="10" t="n">
        <v>6</v>
      </c>
      <c r="C37" s="10"/>
      <c r="D37" s="10" t="s">
        <v>74</v>
      </c>
      <c r="E37" s="10" t="s">
        <v>72</v>
      </c>
      <c r="F37" s="10" t="s">
        <v>48</v>
      </c>
      <c r="G37" s="11" t="n">
        <v>46194.8541666667</v>
      </c>
      <c r="H37" s="11" t="n">
        <f aca="false">G37-TIME(4,0,0)</f>
        <v>46194.6875</v>
      </c>
      <c r="I37" s="12" t="n">
        <f aca="false">INT(H37)</f>
        <v>46194</v>
      </c>
      <c r="J37" s="10" t="s">
        <v>49</v>
      </c>
      <c r="K37" s="10"/>
      <c r="L37" s="10"/>
      <c r="M37" s="10"/>
      <c r="N37" s="11"/>
      <c r="O37" s="11" t="str">
        <f aca="false">IF(N37="","",N37-TIME(4,0,0))</f>
        <v/>
      </c>
      <c r="P37" s="13" t="str">
        <f aca="false">IF(N37="","",ROUND((N37-G37)*1440,1))</f>
        <v/>
      </c>
      <c r="Q37" s="10" t="str">
        <f aca="false">IF(N37="","No","Yes")</f>
        <v>No</v>
      </c>
    </row>
    <row r="38" customFormat="false" ht="15" hidden="false" customHeight="false" outlineLevel="0" collapsed="false">
      <c r="A38" s="10" t="s">
        <v>71</v>
      </c>
      <c r="B38" s="10" t="n">
        <v>7</v>
      </c>
      <c r="C38" s="10"/>
      <c r="D38" s="10" t="s">
        <v>77</v>
      </c>
      <c r="E38" s="10" t="s">
        <v>73</v>
      </c>
      <c r="F38" s="10" t="s">
        <v>48</v>
      </c>
      <c r="G38" s="11" t="n">
        <v>46195.0208333333</v>
      </c>
      <c r="H38" s="11" t="n">
        <f aca="false">G38-TIME(4,0,0)</f>
        <v>46194.8541666667</v>
      </c>
      <c r="I38" s="12" t="n">
        <f aca="false">INT(H38)</f>
        <v>46194</v>
      </c>
      <c r="J38" s="10" t="s">
        <v>49</v>
      </c>
      <c r="K38" s="10"/>
      <c r="L38" s="10"/>
      <c r="M38" s="10"/>
      <c r="N38" s="11"/>
      <c r="O38" s="11" t="str">
        <f aca="false">IF(N38="","",N38-TIME(4,0,0))</f>
        <v/>
      </c>
      <c r="P38" s="13" t="str">
        <f aca="false">IF(N38="","",ROUND((N38-G38)*1440,1))</f>
        <v/>
      </c>
      <c r="Q38" s="10" t="str">
        <f aca="false">IF(N38="","No","Yes")</f>
        <v>No</v>
      </c>
    </row>
    <row r="39" customFormat="false" ht="15" hidden="false" customHeight="false" outlineLevel="0" collapsed="false">
      <c r="A39" s="10" t="s">
        <v>58</v>
      </c>
      <c r="B39" s="10" t="n">
        <v>19</v>
      </c>
      <c r="C39" s="10"/>
      <c r="D39" s="10" t="s">
        <v>65</v>
      </c>
      <c r="E39" s="10" t="s">
        <v>62</v>
      </c>
      <c r="F39" s="10" t="s">
        <v>48</v>
      </c>
      <c r="G39" s="11" t="n">
        <v>46196.3958333333</v>
      </c>
      <c r="H39" s="11" t="n">
        <f aca="false">G39-TIME(4,0,0)</f>
        <v>46196.2291666667</v>
      </c>
      <c r="I39" s="12" t="n">
        <f aca="false">INT(H39)</f>
        <v>46196</v>
      </c>
      <c r="J39" s="10" t="s">
        <v>49</v>
      </c>
      <c r="K39" s="10"/>
      <c r="L39" s="10"/>
      <c r="M39" s="10"/>
      <c r="N39" s="11"/>
      <c r="O39" s="11" t="str">
        <f aca="false">IF(N39="","",N39-TIME(4,0,0))</f>
        <v/>
      </c>
      <c r="P39" s="13" t="str">
        <f aca="false">IF(N39="","",ROUND((N39-G39)*1440,1))</f>
        <v/>
      </c>
      <c r="Q39" s="10" t="str">
        <f aca="false">IF(N39="","No","Yes")</f>
        <v>No</v>
      </c>
    </row>
    <row r="40" customFormat="false" ht="15" hidden="false" customHeight="false" outlineLevel="0" collapsed="false">
      <c r="A40" s="10" t="s">
        <v>58</v>
      </c>
      <c r="B40" s="10" t="n">
        <v>20</v>
      </c>
      <c r="C40" s="10"/>
      <c r="D40" s="10" t="s">
        <v>61</v>
      </c>
      <c r="E40" s="10" t="s">
        <v>60</v>
      </c>
      <c r="F40" s="10" t="s">
        <v>48</v>
      </c>
      <c r="G40" s="11" t="n">
        <v>46196.5625</v>
      </c>
      <c r="H40" s="11" t="n">
        <f aca="false">G40-TIME(4,0,0)</f>
        <v>46196.3958333333</v>
      </c>
      <c r="I40" s="12" t="n">
        <f aca="false">INT(H40)</f>
        <v>46196</v>
      </c>
      <c r="J40" s="10" t="s">
        <v>49</v>
      </c>
      <c r="K40" s="10"/>
      <c r="L40" s="10"/>
      <c r="M40" s="10"/>
      <c r="N40" s="11"/>
      <c r="O40" s="11" t="str">
        <f aca="false">IF(N40="","",N40-TIME(4,0,0))</f>
        <v/>
      </c>
      <c r="P40" s="13" t="str">
        <f aca="false">IF(N40="","",ROUND((N40-G40)*1440,1))</f>
        <v/>
      </c>
      <c r="Q40" s="10" t="str">
        <f aca="false">IF(N40="","No","Yes")</f>
        <v>No</v>
      </c>
    </row>
    <row r="41" customFormat="false" ht="15" hidden="false" customHeight="false" outlineLevel="0" collapsed="false">
      <c r="A41" s="10" t="s">
        <v>58</v>
      </c>
      <c r="B41" s="10" t="n">
        <v>21</v>
      </c>
      <c r="C41" s="10"/>
      <c r="D41" s="10" t="s">
        <v>63</v>
      </c>
      <c r="E41" s="10" t="s">
        <v>70</v>
      </c>
      <c r="F41" s="10" t="s">
        <v>48</v>
      </c>
      <c r="G41" s="11" t="n">
        <v>46196.7291666667</v>
      </c>
      <c r="H41" s="11" t="n">
        <f aca="false">G41-TIME(4,0,0)</f>
        <v>46196.5625</v>
      </c>
      <c r="I41" s="12" t="n">
        <f aca="false">INT(H41)</f>
        <v>46196</v>
      </c>
      <c r="J41" s="10" t="s">
        <v>49</v>
      </c>
      <c r="K41" s="10"/>
      <c r="L41" s="10"/>
      <c r="M41" s="10"/>
      <c r="N41" s="11"/>
      <c r="O41" s="11" t="str">
        <f aca="false">IF(N41="","",N41-TIME(4,0,0))</f>
        <v/>
      </c>
      <c r="P41" s="13" t="str">
        <f aca="false">IF(N41="","",ROUND((N41-G41)*1440,1))</f>
        <v/>
      </c>
      <c r="Q41" s="10" t="str">
        <f aca="false">IF(N41="","No","Yes")</f>
        <v>No</v>
      </c>
    </row>
    <row r="42" customFormat="false" ht="15" hidden="false" customHeight="false" outlineLevel="0" collapsed="false">
      <c r="A42" s="10" t="s">
        <v>58</v>
      </c>
      <c r="B42" s="10" t="n">
        <v>22</v>
      </c>
      <c r="C42" s="10"/>
      <c r="D42" s="10" t="s">
        <v>59</v>
      </c>
      <c r="E42" s="10" t="s">
        <v>66</v>
      </c>
      <c r="F42" s="10" t="s">
        <v>48</v>
      </c>
      <c r="G42" s="11" t="n">
        <v>46197.7291666667</v>
      </c>
      <c r="H42" s="11" t="n">
        <f aca="false">G42-TIME(4,0,0)</f>
        <v>46197.5625</v>
      </c>
      <c r="I42" s="12" t="n">
        <f aca="false">INT(H42)</f>
        <v>46197</v>
      </c>
      <c r="J42" s="10" t="s">
        <v>49</v>
      </c>
      <c r="K42" s="10"/>
      <c r="L42" s="10"/>
      <c r="M42" s="10"/>
      <c r="N42" s="11"/>
      <c r="O42" s="11" t="str">
        <f aca="false">IF(N42="","",N42-TIME(4,0,0))</f>
        <v/>
      </c>
      <c r="P42" s="13" t="str">
        <f aca="false">IF(N42="","",ROUND((N42-G42)*1440,1))</f>
        <v/>
      </c>
      <c r="Q42" s="10" t="str">
        <f aca="false">IF(N42="","No","Yes")</f>
        <v>No</v>
      </c>
    </row>
    <row r="43" customFormat="false" ht="15" hidden="false" customHeight="false" outlineLevel="0" collapsed="false">
      <c r="A43" s="10" t="s">
        <v>71</v>
      </c>
      <c r="B43" s="10" t="n">
        <v>8</v>
      </c>
      <c r="C43" s="10"/>
      <c r="D43" s="10" t="s">
        <v>75</v>
      </c>
      <c r="E43" s="10" t="s">
        <v>73</v>
      </c>
      <c r="F43" s="10" t="s">
        <v>48</v>
      </c>
      <c r="G43" s="11" t="n">
        <v>46198.0625</v>
      </c>
      <c r="H43" s="11" t="n">
        <f aca="false">G43-TIME(4,0,0)</f>
        <v>46197.8958333333</v>
      </c>
      <c r="I43" s="12" t="n">
        <f aca="false">INT(H43)</f>
        <v>46197</v>
      </c>
      <c r="J43" s="10" t="s">
        <v>49</v>
      </c>
      <c r="K43" s="10"/>
      <c r="L43" s="10"/>
      <c r="M43" s="10"/>
      <c r="N43" s="11"/>
      <c r="O43" s="11" t="str">
        <f aca="false">IF(N43="","",N43-TIME(4,0,0))</f>
        <v/>
      </c>
      <c r="P43" s="13" t="str">
        <f aca="false">IF(N43="","",ROUND((N43-G43)*1440,1))</f>
        <v/>
      </c>
      <c r="Q43" s="10" t="str">
        <f aca="false">IF(N43="","No","Yes")</f>
        <v>No</v>
      </c>
    </row>
    <row r="44" customFormat="false" ht="15" hidden="false" customHeight="false" outlineLevel="0" collapsed="false">
      <c r="A44" s="10" t="s">
        <v>58</v>
      </c>
      <c r="B44" s="10" t="n">
        <v>23</v>
      </c>
      <c r="C44" s="10"/>
      <c r="D44" s="10" t="s">
        <v>67</v>
      </c>
      <c r="E44" s="10" t="s">
        <v>69</v>
      </c>
      <c r="F44" s="10" t="s">
        <v>48</v>
      </c>
      <c r="G44" s="11" t="n">
        <v>46198.5625</v>
      </c>
      <c r="H44" s="11" t="n">
        <f aca="false">G44-TIME(4,0,0)</f>
        <v>46198.3958333333</v>
      </c>
      <c r="I44" s="12" t="n">
        <f aca="false">INT(H44)</f>
        <v>46198</v>
      </c>
      <c r="J44" s="10" t="s">
        <v>49</v>
      </c>
      <c r="K44" s="10"/>
      <c r="L44" s="10"/>
      <c r="M44" s="10"/>
      <c r="N44" s="11"/>
      <c r="O44" s="11" t="str">
        <f aca="false">IF(N44="","",N44-TIME(4,0,0))</f>
        <v/>
      </c>
      <c r="P44" s="13" t="str">
        <f aca="false">IF(N44="","",ROUND((N44-G44)*1440,1))</f>
        <v/>
      </c>
      <c r="Q44" s="10" t="str">
        <f aca="false">IF(N44="","No","Yes")</f>
        <v>No</v>
      </c>
    </row>
    <row r="45" customFormat="false" ht="15" hidden="false" customHeight="false" outlineLevel="0" collapsed="false">
      <c r="A45" s="10" t="s">
        <v>58</v>
      </c>
      <c r="B45" s="10" t="n">
        <v>24</v>
      </c>
      <c r="C45" s="10"/>
      <c r="D45" s="10" t="s">
        <v>68</v>
      </c>
      <c r="E45" s="10" t="s">
        <v>64</v>
      </c>
      <c r="F45" s="10" t="s">
        <v>48</v>
      </c>
      <c r="G45" s="11" t="n">
        <v>46198.7291666667</v>
      </c>
      <c r="H45" s="11" t="n">
        <f aca="false">G45-TIME(4,0,0)</f>
        <v>46198.5625</v>
      </c>
      <c r="I45" s="12" t="n">
        <f aca="false">INT(H45)</f>
        <v>46198</v>
      </c>
      <c r="J45" s="10" t="s">
        <v>49</v>
      </c>
      <c r="K45" s="10"/>
      <c r="L45" s="10"/>
      <c r="M45" s="10"/>
      <c r="N45" s="11"/>
      <c r="O45" s="11" t="str">
        <f aca="false">IF(N45="","",N45-TIME(4,0,0))</f>
        <v/>
      </c>
      <c r="P45" s="13" t="str">
        <f aca="false">IF(N45="","",ROUND((N45-G45)*1440,1))</f>
        <v/>
      </c>
      <c r="Q45" s="10" t="str">
        <f aca="false">IF(N45="","No","Yes")</f>
        <v>No</v>
      </c>
    </row>
    <row r="46" customFormat="false" ht="15" hidden="false" customHeight="false" outlineLevel="0" collapsed="false">
      <c r="A46" s="10" t="s">
        <v>71</v>
      </c>
      <c r="B46" s="10" t="n">
        <v>9</v>
      </c>
      <c r="C46" s="10"/>
      <c r="D46" s="10" t="s">
        <v>72</v>
      </c>
      <c r="E46" s="10" t="s">
        <v>76</v>
      </c>
      <c r="F46" s="10" t="s">
        <v>48</v>
      </c>
      <c r="G46" s="11" t="n">
        <v>46199.0625</v>
      </c>
      <c r="H46" s="11" t="n">
        <f aca="false">G46-TIME(4,0,0)</f>
        <v>46198.8958333333</v>
      </c>
      <c r="I46" s="12" t="n">
        <f aca="false">INT(H46)</f>
        <v>46198</v>
      </c>
      <c r="J46" s="10" t="s">
        <v>49</v>
      </c>
      <c r="K46" s="10"/>
      <c r="L46" s="10"/>
      <c r="M46" s="10"/>
      <c r="N46" s="11"/>
      <c r="O46" s="11" t="str">
        <f aca="false">IF(N46="","",N46-TIME(4,0,0))</f>
        <v/>
      </c>
      <c r="P46" s="13" t="str">
        <f aca="false">IF(N46="","",ROUND((N46-G46)*1440,1))</f>
        <v/>
      </c>
      <c r="Q46" s="10" t="str">
        <f aca="false">IF(N46="","No","Yes")</f>
        <v>No</v>
      </c>
    </row>
    <row r="47" customFormat="false" ht="15" hidden="false" customHeight="false" outlineLevel="0" collapsed="false">
      <c r="A47" s="10" t="s">
        <v>58</v>
      </c>
      <c r="B47" s="10" t="n">
        <v>25</v>
      </c>
      <c r="C47" s="10"/>
      <c r="D47" s="10" t="s">
        <v>62</v>
      </c>
      <c r="E47" s="10" t="s">
        <v>60</v>
      </c>
      <c r="F47" s="10" t="s">
        <v>48</v>
      </c>
      <c r="G47" s="11" t="n">
        <v>46199.7291666667</v>
      </c>
      <c r="H47" s="11" t="n">
        <f aca="false">G47-TIME(4,0,0)</f>
        <v>46199.5625</v>
      </c>
      <c r="I47" s="12" t="n">
        <f aca="false">INT(H47)</f>
        <v>46199</v>
      </c>
      <c r="J47" s="10" t="s">
        <v>49</v>
      </c>
      <c r="K47" s="10"/>
      <c r="L47" s="10"/>
      <c r="M47" s="10"/>
      <c r="N47" s="11"/>
      <c r="O47" s="11" t="str">
        <f aca="false">IF(N47="","",N47-TIME(4,0,0))</f>
        <v/>
      </c>
      <c r="P47" s="13" t="str">
        <f aca="false">IF(N47="","",ROUND((N47-G47)*1440,1))</f>
        <v/>
      </c>
      <c r="Q47" s="10" t="str">
        <f aca="false">IF(N47="","No","Yes")</f>
        <v>No</v>
      </c>
    </row>
    <row r="48" customFormat="false" ht="15" hidden="false" customHeight="false" outlineLevel="0" collapsed="false">
      <c r="A48" s="10" t="s">
        <v>71</v>
      </c>
      <c r="B48" s="10" t="n">
        <v>10</v>
      </c>
      <c r="C48" s="10"/>
      <c r="D48" s="10" t="s">
        <v>77</v>
      </c>
      <c r="E48" s="10" t="s">
        <v>73</v>
      </c>
      <c r="F48" s="10" t="s">
        <v>48</v>
      </c>
      <c r="G48" s="11" t="n">
        <v>46199.8958333333</v>
      </c>
      <c r="H48" s="11" t="n">
        <f aca="false">G48-TIME(4,0,0)</f>
        <v>46199.7291666667</v>
      </c>
      <c r="I48" s="12" t="n">
        <f aca="false">INT(H48)</f>
        <v>46199</v>
      </c>
      <c r="J48" s="10" t="s">
        <v>49</v>
      </c>
      <c r="K48" s="10"/>
      <c r="L48" s="10"/>
      <c r="M48" s="10"/>
      <c r="N48" s="11"/>
      <c r="O48" s="11" t="str">
        <f aca="false">IF(N48="","",N48-TIME(4,0,0))</f>
        <v/>
      </c>
      <c r="P48" s="13" t="str">
        <f aca="false">IF(N48="","",ROUND((N48-G48)*1440,1))</f>
        <v/>
      </c>
      <c r="Q48" s="10" t="str">
        <f aca="false">IF(N48="","No","Yes")</f>
        <v>No</v>
      </c>
    </row>
    <row r="49" customFormat="false" ht="15" hidden="false" customHeight="false" outlineLevel="0" collapsed="false">
      <c r="A49" s="10" t="s">
        <v>71</v>
      </c>
      <c r="B49" s="10" t="n">
        <v>11</v>
      </c>
      <c r="C49" s="10"/>
      <c r="D49" s="10" t="s">
        <v>75</v>
      </c>
      <c r="E49" s="10" t="s">
        <v>72</v>
      </c>
      <c r="F49" s="10" t="s">
        <v>48</v>
      </c>
      <c r="G49" s="11" t="n">
        <v>46200.0625</v>
      </c>
      <c r="H49" s="11" t="n">
        <f aca="false">G49-TIME(4,0,0)</f>
        <v>46199.8958333333</v>
      </c>
      <c r="I49" s="12" t="n">
        <f aca="false">INT(H49)</f>
        <v>46199</v>
      </c>
      <c r="J49" s="10" t="s">
        <v>49</v>
      </c>
      <c r="K49" s="10"/>
      <c r="L49" s="10"/>
      <c r="M49" s="10"/>
      <c r="N49" s="11"/>
      <c r="O49" s="11" t="str">
        <f aca="false">IF(N49="","",N49-TIME(4,0,0))</f>
        <v/>
      </c>
      <c r="P49" s="13" t="str">
        <f aca="false">IF(N49="","",ROUND((N49-G49)*1440,1))</f>
        <v/>
      </c>
      <c r="Q49" s="10" t="str">
        <f aca="false">IF(N49="","No","Yes")</f>
        <v>No</v>
      </c>
    </row>
    <row r="50" customFormat="false" ht="15" hidden="false" customHeight="false" outlineLevel="0" collapsed="false">
      <c r="A50" s="10" t="s">
        <v>58</v>
      </c>
      <c r="B50" s="10" t="n">
        <v>26</v>
      </c>
      <c r="C50" s="10"/>
      <c r="D50" s="10" t="s">
        <v>68</v>
      </c>
      <c r="E50" s="10" t="s">
        <v>70</v>
      </c>
      <c r="F50" s="10" t="s">
        <v>48</v>
      </c>
      <c r="G50" s="11" t="n">
        <v>46200.3958333333</v>
      </c>
      <c r="H50" s="11" t="n">
        <f aca="false">G50-TIME(4,0,0)</f>
        <v>46200.2291666667</v>
      </c>
      <c r="I50" s="12" t="n">
        <f aca="false">INT(H50)</f>
        <v>46200</v>
      </c>
      <c r="J50" s="10" t="s">
        <v>49</v>
      </c>
      <c r="K50" s="10"/>
      <c r="L50" s="10"/>
      <c r="M50" s="10"/>
      <c r="N50" s="11"/>
      <c r="O50" s="11" t="str">
        <f aca="false">IF(N50="","",N50-TIME(4,0,0))</f>
        <v/>
      </c>
      <c r="P50" s="13" t="str">
        <f aca="false">IF(N50="","",ROUND((N50-G50)*1440,1))</f>
        <v/>
      </c>
      <c r="Q50" s="10" t="str">
        <f aca="false">IF(N50="","No","Yes")</f>
        <v>No</v>
      </c>
    </row>
    <row r="51" customFormat="false" ht="15" hidden="false" customHeight="false" outlineLevel="0" collapsed="false">
      <c r="A51" s="10" t="s">
        <v>58</v>
      </c>
      <c r="B51" s="10" t="n">
        <v>27</v>
      </c>
      <c r="C51" s="10"/>
      <c r="D51" s="10" t="s">
        <v>61</v>
      </c>
      <c r="E51" s="10" t="s">
        <v>66</v>
      </c>
      <c r="F51" s="10" t="s">
        <v>48</v>
      </c>
      <c r="G51" s="11" t="n">
        <v>46200.5625</v>
      </c>
      <c r="H51" s="11" t="n">
        <f aca="false">G51-TIME(4,0,0)</f>
        <v>46200.3958333333</v>
      </c>
      <c r="I51" s="12" t="n">
        <f aca="false">INT(H51)</f>
        <v>46200</v>
      </c>
      <c r="J51" s="10" t="s">
        <v>49</v>
      </c>
      <c r="K51" s="10"/>
      <c r="L51" s="10"/>
      <c r="M51" s="10"/>
      <c r="N51" s="11"/>
      <c r="O51" s="11" t="str">
        <f aca="false">IF(N51="","",N51-TIME(4,0,0))</f>
        <v/>
      </c>
      <c r="P51" s="13" t="str">
        <f aca="false">IF(N51="","",ROUND((N51-G51)*1440,1))</f>
        <v/>
      </c>
      <c r="Q51" s="10" t="str">
        <f aca="false">IF(N51="","No","Yes")</f>
        <v>No</v>
      </c>
    </row>
    <row r="52" customFormat="false" ht="15" hidden="false" customHeight="false" outlineLevel="0" collapsed="false">
      <c r="A52" s="10" t="s">
        <v>58</v>
      </c>
      <c r="B52" s="10" t="n">
        <v>28</v>
      </c>
      <c r="C52" s="10"/>
      <c r="D52" s="10" t="s">
        <v>59</v>
      </c>
      <c r="E52" s="10" t="s">
        <v>65</v>
      </c>
      <c r="F52" s="10" t="s">
        <v>48</v>
      </c>
      <c r="G52" s="11" t="n">
        <v>46200.7291666667</v>
      </c>
      <c r="H52" s="11" t="n">
        <f aca="false">G52-TIME(4,0,0)</f>
        <v>46200.5625</v>
      </c>
      <c r="I52" s="12" t="n">
        <f aca="false">INT(H52)</f>
        <v>46200</v>
      </c>
      <c r="J52" s="10" t="s">
        <v>49</v>
      </c>
      <c r="K52" s="10"/>
      <c r="L52" s="10"/>
      <c r="M52" s="10"/>
      <c r="N52" s="11"/>
      <c r="O52" s="11" t="str">
        <f aca="false">IF(N52="","",N52-TIME(4,0,0))</f>
        <v/>
      </c>
      <c r="P52" s="13" t="str">
        <f aca="false">IF(N52="","",ROUND((N52-G52)*1440,1))</f>
        <v/>
      </c>
      <c r="Q52" s="10" t="str">
        <f aca="false">IF(N52="","No","Yes")</f>
        <v>No</v>
      </c>
    </row>
    <row r="53" customFormat="false" ht="15" hidden="false" customHeight="false" outlineLevel="0" collapsed="false">
      <c r="A53" s="10" t="s">
        <v>71</v>
      </c>
      <c r="B53" s="10" t="n">
        <v>12</v>
      </c>
      <c r="C53" s="10"/>
      <c r="D53" s="10" t="s">
        <v>74</v>
      </c>
      <c r="E53" s="10" t="s">
        <v>77</v>
      </c>
      <c r="F53" s="10" t="s">
        <v>48</v>
      </c>
      <c r="G53" s="11" t="n">
        <v>46200.8958333333</v>
      </c>
      <c r="H53" s="11" t="n">
        <f aca="false">G53-TIME(4,0,0)</f>
        <v>46200.7291666667</v>
      </c>
      <c r="I53" s="12" t="n">
        <f aca="false">INT(H53)</f>
        <v>46200</v>
      </c>
      <c r="J53" s="10" t="s">
        <v>49</v>
      </c>
      <c r="K53" s="10"/>
      <c r="L53" s="10"/>
      <c r="M53" s="10"/>
      <c r="N53" s="11"/>
      <c r="O53" s="11" t="str">
        <f aca="false">IF(N53="","",N53-TIME(4,0,0))</f>
        <v/>
      </c>
      <c r="P53" s="13" t="str">
        <f aca="false">IF(N53="","",ROUND((N53-G53)*1440,1))</f>
        <v/>
      </c>
      <c r="Q53" s="10" t="str">
        <f aca="false">IF(N53="","No","Yes")</f>
        <v>No</v>
      </c>
    </row>
    <row r="54" customFormat="false" ht="15" hidden="false" customHeight="false" outlineLevel="0" collapsed="false">
      <c r="A54" s="10" t="s">
        <v>71</v>
      </c>
      <c r="B54" s="10" t="n">
        <v>13</v>
      </c>
      <c r="C54" s="10"/>
      <c r="D54" s="10" t="s">
        <v>73</v>
      </c>
      <c r="E54" s="10" t="s">
        <v>76</v>
      </c>
      <c r="F54" s="10" t="s">
        <v>48</v>
      </c>
      <c r="G54" s="11" t="n">
        <v>46201.0625</v>
      </c>
      <c r="H54" s="11" t="n">
        <f aca="false">G54-TIME(4,0,0)</f>
        <v>46200.8958333333</v>
      </c>
      <c r="I54" s="12" t="n">
        <f aca="false">INT(H54)</f>
        <v>46200</v>
      </c>
      <c r="J54" s="10" t="s">
        <v>49</v>
      </c>
      <c r="K54" s="10"/>
      <c r="L54" s="10"/>
      <c r="M54" s="10"/>
      <c r="N54" s="11"/>
      <c r="O54" s="11" t="str">
        <f aca="false">IF(N54="","",N54-TIME(4,0,0))</f>
        <v/>
      </c>
      <c r="P54" s="13" t="str">
        <f aca="false">IF(N54="","",ROUND((N54-G54)*1440,1))</f>
        <v/>
      </c>
      <c r="Q54" s="10" t="str">
        <f aca="false">IF(N54="","No","Yes")</f>
        <v>No</v>
      </c>
    </row>
    <row r="55" customFormat="false" ht="15" hidden="false" customHeight="false" outlineLevel="0" collapsed="false">
      <c r="A55" s="10" t="s">
        <v>58</v>
      </c>
      <c r="B55" s="10" t="n">
        <v>29</v>
      </c>
      <c r="C55" s="10"/>
      <c r="D55" s="10" t="s">
        <v>67</v>
      </c>
      <c r="E55" s="10" t="s">
        <v>64</v>
      </c>
      <c r="F55" s="10" t="s">
        <v>48</v>
      </c>
      <c r="G55" s="11" t="n">
        <v>46201.3958333333</v>
      </c>
      <c r="H55" s="11" t="n">
        <f aca="false">G55-TIME(4,0,0)</f>
        <v>46201.2291666667</v>
      </c>
      <c r="I55" s="12" t="n">
        <f aca="false">INT(H55)</f>
        <v>46201</v>
      </c>
      <c r="J55" s="10" t="s">
        <v>49</v>
      </c>
      <c r="K55" s="10"/>
      <c r="L55" s="10"/>
      <c r="M55" s="10"/>
      <c r="N55" s="11"/>
      <c r="O55" s="11" t="str">
        <f aca="false">IF(N55="","",N55-TIME(4,0,0))</f>
        <v/>
      </c>
      <c r="P55" s="13" t="str">
        <f aca="false">IF(N55="","",ROUND((N55-G55)*1440,1))</f>
        <v/>
      </c>
      <c r="Q55" s="10" t="str">
        <f aca="false">IF(N55="","No","Yes")</f>
        <v>No</v>
      </c>
    </row>
    <row r="56" customFormat="false" ht="15" hidden="false" customHeight="false" outlineLevel="0" collapsed="false">
      <c r="A56" s="10" t="s">
        <v>58</v>
      </c>
      <c r="B56" s="10" t="n">
        <v>30</v>
      </c>
      <c r="C56" s="10"/>
      <c r="D56" s="10" t="s">
        <v>63</v>
      </c>
      <c r="E56" s="10" t="s">
        <v>69</v>
      </c>
      <c r="F56" s="10" t="s">
        <v>48</v>
      </c>
      <c r="G56" s="11" t="n">
        <v>46201.5625</v>
      </c>
      <c r="H56" s="11" t="n">
        <f aca="false">G56-TIME(4,0,0)</f>
        <v>46201.3958333333</v>
      </c>
      <c r="I56" s="12" t="n">
        <f aca="false">INT(H56)</f>
        <v>46201</v>
      </c>
      <c r="J56" s="10" t="s">
        <v>49</v>
      </c>
      <c r="K56" s="10"/>
      <c r="L56" s="10"/>
      <c r="M56" s="10"/>
      <c r="N56" s="11"/>
      <c r="O56" s="11" t="str">
        <f aca="false">IF(N56="","",N56-TIME(4,0,0))</f>
        <v/>
      </c>
      <c r="P56" s="13" t="str">
        <f aca="false">IF(N56="","",ROUND((N56-G56)*1440,1))</f>
        <v/>
      </c>
      <c r="Q56" s="10" t="str">
        <f aca="false">IF(N56="","No","Yes")</f>
        <v>No</v>
      </c>
    </row>
    <row r="57" customFormat="false" ht="15" hidden="false" customHeight="false" outlineLevel="0" collapsed="false">
      <c r="A57" s="10" t="s">
        <v>71</v>
      </c>
      <c r="B57" s="10" t="n">
        <v>14</v>
      </c>
      <c r="C57" s="10"/>
      <c r="D57" s="10" t="s">
        <v>74</v>
      </c>
      <c r="E57" s="10" t="s">
        <v>72</v>
      </c>
      <c r="F57" s="10" t="s">
        <v>48</v>
      </c>
      <c r="G57" s="11" t="n">
        <v>46201.8958333333</v>
      </c>
      <c r="H57" s="11" t="n">
        <f aca="false">G57-TIME(4,0,0)</f>
        <v>46201.7291666667</v>
      </c>
      <c r="I57" s="12" t="n">
        <f aca="false">INT(H57)</f>
        <v>46201</v>
      </c>
      <c r="J57" s="10" t="s">
        <v>49</v>
      </c>
      <c r="K57" s="10"/>
      <c r="L57" s="10"/>
      <c r="M57" s="10"/>
      <c r="N57" s="11"/>
      <c r="O57" s="11" t="str">
        <f aca="false">IF(N57="","",N57-TIME(4,0,0))</f>
        <v/>
      </c>
      <c r="P57" s="13" t="str">
        <f aca="false">IF(N57="","",ROUND((N57-G57)*1440,1))</f>
        <v/>
      </c>
      <c r="Q57" s="10" t="str">
        <f aca="false">IF(N57="","No","Yes")</f>
        <v>No</v>
      </c>
    </row>
    <row r="58" customFormat="false" ht="15" hidden="false" customHeight="false" outlineLevel="0" collapsed="false">
      <c r="A58" s="10" t="s">
        <v>71</v>
      </c>
      <c r="B58" s="10" t="n">
        <v>15</v>
      </c>
      <c r="C58" s="10"/>
      <c r="D58" s="10" t="s">
        <v>75</v>
      </c>
      <c r="E58" s="10" t="s">
        <v>76</v>
      </c>
      <c r="F58" s="10" t="s">
        <v>48</v>
      </c>
      <c r="G58" s="11" t="n">
        <v>46202.0625</v>
      </c>
      <c r="H58" s="11" t="n">
        <f aca="false">G58-TIME(4,0,0)</f>
        <v>46201.8958333333</v>
      </c>
      <c r="I58" s="12" t="n">
        <f aca="false">INT(H58)</f>
        <v>46201</v>
      </c>
      <c r="J58" s="10" t="s">
        <v>49</v>
      </c>
      <c r="K58" s="10"/>
      <c r="L58" s="10"/>
      <c r="M58" s="10"/>
      <c r="N58" s="11"/>
      <c r="O58" s="11" t="str">
        <f aca="false">IF(N58="","",N58-TIME(4,0,0))</f>
        <v/>
      </c>
      <c r="P58" s="13" t="str">
        <f aca="false">IF(N58="","",ROUND((N58-G58)*1440,1))</f>
        <v/>
      </c>
      <c r="Q58" s="10" t="str">
        <f aca="false">IF(N58="","No","Yes")</f>
        <v>No</v>
      </c>
    </row>
    <row r="59" customFormat="false" ht="15" hidden="false" customHeight="false" outlineLevel="0" collapsed="false">
      <c r="A59" s="10" t="s">
        <v>58</v>
      </c>
      <c r="B59" s="10"/>
      <c r="C59" s="10"/>
      <c r="D59" s="10" t="s">
        <v>78</v>
      </c>
      <c r="E59" s="10" t="s">
        <v>78</v>
      </c>
      <c r="F59" s="10" t="s">
        <v>79</v>
      </c>
      <c r="G59" s="11" t="n">
        <v>46203.5625</v>
      </c>
      <c r="H59" s="11" t="n">
        <f aca="false">G59-TIME(4,0,0)</f>
        <v>46203.3958333333</v>
      </c>
      <c r="I59" s="12" t="n">
        <f aca="false">INT(H59)</f>
        <v>46203</v>
      </c>
      <c r="J59" s="10" t="s">
        <v>49</v>
      </c>
      <c r="K59" s="10"/>
      <c r="L59" s="10"/>
      <c r="M59" s="10"/>
      <c r="N59" s="11"/>
      <c r="O59" s="11" t="str">
        <f aca="false">IF(N59="","",N59-TIME(4,0,0))</f>
        <v/>
      </c>
      <c r="P59" s="13" t="str">
        <f aca="false">IF(N59="","",ROUND((N59-G59)*1440,1))</f>
        <v/>
      </c>
      <c r="Q59" s="10" t="str">
        <f aca="false">IF(N59="","No","Yes")</f>
        <v>No</v>
      </c>
    </row>
    <row r="60" customFormat="false" ht="15" hidden="false" customHeight="false" outlineLevel="0" collapsed="false">
      <c r="A60" s="10" t="s">
        <v>71</v>
      </c>
      <c r="B60" s="10" t="n">
        <v>16</v>
      </c>
      <c r="C60" s="10"/>
      <c r="D60" s="10" t="s">
        <v>74</v>
      </c>
      <c r="E60" s="10" t="s">
        <v>76</v>
      </c>
      <c r="F60" s="10" t="s">
        <v>48</v>
      </c>
      <c r="G60" s="11" t="n">
        <v>46205.0625</v>
      </c>
      <c r="H60" s="11" t="n">
        <f aca="false">G60-TIME(4,0,0)</f>
        <v>46204.8958333333</v>
      </c>
      <c r="I60" s="12" t="n">
        <f aca="false">INT(H60)</f>
        <v>46204</v>
      </c>
      <c r="J60" s="10" t="s">
        <v>49</v>
      </c>
      <c r="K60" s="10"/>
      <c r="L60" s="10"/>
      <c r="M60" s="10"/>
      <c r="N60" s="11"/>
      <c r="O60" s="11" t="str">
        <f aca="false">IF(N60="","",N60-TIME(4,0,0))</f>
        <v/>
      </c>
      <c r="P60" s="13" t="str">
        <f aca="false">IF(N60="","",ROUND((N60-G60)*1440,1))</f>
        <v/>
      </c>
      <c r="Q60" s="10" t="str">
        <f aca="false">IF(N60="","No","Yes")</f>
        <v>No</v>
      </c>
    </row>
    <row r="61" customFormat="false" ht="15" hidden="false" customHeight="false" outlineLevel="0" collapsed="false">
      <c r="A61" s="10" t="s">
        <v>58</v>
      </c>
      <c r="B61" s="10"/>
      <c r="C61" s="10"/>
      <c r="D61" s="10" t="s">
        <v>78</v>
      </c>
      <c r="E61" s="10" t="s">
        <v>78</v>
      </c>
      <c r="F61" s="10" t="s">
        <v>79</v>
      </c>
      <c r="G61" s="11" t="n">
        <v>46205.7291666667</v>
      </c>
      <c r="H61" s="11" t="n">
        <f aca="false">G61-TIME(4,0,0)</f>
        <v>46205.5625</v>
      </c>
      <c r="I61" s="12" t="n">
        <f aca="false">INT(H61)</f>
        <v>46205</v>
      </c>
      <c r="J61" s="10" t="s">
        <v>49</v>
      </c>
      <c r="K61" s="10"/>
      <c r="L61" s="10"/>
      <c r="M61" s="10"/>
      <c r="N61" s="11"/>
      <c r="O61" s="11" t="str">
        <f aca="false">IF(N61="","",N61-TIME(4,0,0))</f>
        <v/>
      </c>
      <c r="P61" s="13" t="str">
        <f aca="false">IF(N61="","",ROUND((N61-G61)*1440,1))</f>
        <v/>
      </c>
      <c r="Q61" s="10" t="str">
        <f aca="false">IF(N61="","No","Yes")</f>
        <v>No</v>
      </c>
    </row>
    <row r="62" customFormat="false" ht="15" hidden="false" customHeight="false" outlineLevel="0" collapsed="false">
      <c r="A62" s="10" t="s">
        <v>71</v>
      </c>
      <c r="B62" s="10" t="n">
        <v>17</v>
      </c>
      <c r="C62" s="10"/>
      <c r="D62" s="10" t="s">
        <v>77</v>
      </c>
      <c r="E62" s="10" t="s">
        <v>72</v>
      </c>
      <c r="F62" s="10" t="s">
        <v>48</v>
      </c>
      <c r="G62" s="11" t="n">
        <v>46206.0625</v>
      </c>
      <c r="H62" s="11" t="n">
        <f aca="false">G62-TIME(4,0,0)</f>
        <v>46205.8958333333</v>
      </c>
      <c r="I62" s="12" t="n">
        <f aca="false">INT(H62)</f>
        <v>46205</v>
      </c>
      <c r="J62" s="10" t="s">
        <v>49</v>
      </c>
      <c r="K62" s="10"/>
      <c r="L62" s="10"/>
      <c r="M62" s="10"/>
      <c r="N62" s="11"/>
      <c r="O62" s="11" t="str">
        <f aca="false">IF(N62="","",N62-TIME(4,0,0))</f>
        <v/>
      </c>
      <c r="P62" s="13" t="str">
        <f aca="false">IF(N62="","",ROUND((N62-G62)*1440,1))</f>
        <v/>
      </c>
      <c r="Q62" s="10" t="str">
        <f aca="false">IF(N62="","No","Yes")</f>
        <v>No</v>
      </c>
    </row>
    <row r="63" customFormat="false" ht="15" hidden="false" customHeight="false" outlineLevel="0" collapsed="false">
      <c r="A63" s="10" t="s">
        <v>71</v>
      </c>
      <c r="B63" s="10" t="n">
        <v>18</v>
      </c>
      <c r="C63" s="10"/>
      <c r="D63" s="10" t="s">
        <v>74</v>
      </c>
      <c r="E63" s="10" t="s">
        <v>73</v>
      </c>
      <c r="F63" s="10" t="s">
        <v>48</v>
      </c>
      <c r="G63" s="11" t="n">
        <v>46207.0625</v>
      </c>
      <c r="H63" s="11" t="n">
        <f aca="false">G63-TIME(4,0,0)</f>
        <v>46206.8958333333</v>
      </c>
      <c r="I63" s="12" t="n">
        <f aca="false">INT(H63)</f>
        <v>46206</v>
      </c>
      <c r="J63" s="10" t="s">
        <v>49</v>
      </c>
      <c r="K63" s="10"/>
      <c r="L63" s="10"/>
      <c r="M63" s="10"/>
      <c r="N63" s="11"/>
      <c r="O63" s="11" t="str">
        <f aca="false">IF(N63="","",N63-TIME(4,0,0))</f>
        <v/>
      </c>
      <c r="P63" s="13" t="str">
        <f aca="false">IF(N63="","",ROUND((N63-G63)*1440,1))</f>
        <v/>
      </c>
      <c r="Q63" s="10" t="str">
        <f aca="false">IF(N63="","No","Yes")</f>
        <v>No</v>
      </c>
    </row>
    <row r="64" customFormat="false" ht="15" hidden="false" customHeight="false" outlineLevel="0" collapsed="false">
      <c r="A64" s="10" t="s">
        <v>71</v>
      </c>
      <c r="B64" s="10" t="n">
        <v>19</v>
      </c>
      <c r="C64" s="10"/>
      <c r="D64" s="10" t="s">
        <v>75</v>
      </c>
      <c r="E64" s="10" t="s">
        <v>76</v>
      </c>
      <c r="F64" s="10" t="s">
        <v>48</v>
      </c>
      <c r="G64" s="11" t="n">
        <v>46207.8958333333</v>
      </c>
      <c r="H64" s="11" t="n">
        <f aca="false">G64-TIME(4,0,0)</f>
        <v>46207.7291666667</v>
      </c>
      <c r="I64" s="12" t="n">
        <f aca="false">INT(H64)</f>
        <v>46207</v>
      </c>
      <c r="J64" s="10" t="s">
        <v>49</v>
      </c>
      <c r="K64" s="10"/>
      <c r="L64" s="10"/>
      <c r="M64" s="10"/>
      <c r="N64" s="11"/>
      <c r="O64" s="11" t="str">
        <f aca="false">IF(N64="","",N64-TIME(4,0,0))</f>
        <v/>
      </c>
      <c r="P64" s="13" t="str">
        <f aca="false">IF(N64="","",ROUND((N64-G64)*1440,1))</f>
        <v/>
      </c>
      <c r="Q64" s="10" t="str">
        <f aca="false">IF(N64="","No","Yes")</f>
        <v>No</v>
      </c>
    </row>
    <row r="65" customFormat="false" ht="15" hidden="false" customHeight="false" outlineLevel="0" collapsed="false">
      <c r="A65" s="10" t="s">
        <v>71</v>
      </c>
      <c r="B65" s="10" t="n">
        <v>20</v>
      </c>
      <c r="C65" s="10"/>
      <c r="D65" s="10" t="s">
        <v>74</v>
      </c>
      <c r="E65" s="10" t="s">
        <v>77</v>
      </c>
      <c r="F65" s="10" t="s">
        <v>48</v>
      </c>
      <c r="G65" s="11" t="n">
        <v>46208.0625</v>
      </c>
      <c r="H65" s="11" t="n">
        <f aca="false">G65-TIME(4,0,0)</f>
        <v>46207.8958333333</v>
      </c>
      <c r="I65" s="12" t="n">
        <f aca="false">INT(H65)</f>
        <v>46207</v>
      </c>
      <c r="J65" s="10" t="s">
        <v>49</v>
      </c>
      <c r="K65" s="10"/>
      <c r="L65" s="10"/>
      <c r="M65" s="10"/>
      <c r="N65" s="11"/>
      <c r="O65" s="11" t="str">
        <f aca="false">IF(N65="","",N65-TIME(4,0,0))</f>
        <v/>
      </c>
      <c r="P65" s="13" t="str">
        <f aca="false">IF(N65="","",ROUND((N65-G65)*1440,1))</f>
        <v/>
      </c>
      <c r="Q65" s="10" t="str">
        <f aca="false">IF(N65="","No","Yes")</f>
        <v>No</v>
      </c>
    </row>
    <row r="66" customFormat="false" ht="15" hidden="false" customHeight="false" outlineLevel="0" collapsed="false">
      <c r="A66" s="10" t="s">
        <v>58</v>
      </c>
      <c r="B66" s="10"/>
      <c r="C66" s="10"/>
      <c r="D66" s="10" t="s">
        <v>78</v>
      </c>
      <c r="E66" s="10" t="s">
        <v>78</v>
      </c>
      <c r="F66" s="10" t="s">
        <v>79</v>
      </c>
      <c r="G66" s="11" t="n">
        <v>46208.5625</v>
      </c>
      <c r="H66" s="11" t="n">
        <f aca="false">G66-TIME(4,0,0)</f>
        <v>46208.3958333333</v>
      </c>
      <c r="I66" s="12" t="n">
        <f aca="false">INT(H66)</f>
        <v>46208</v>
      </c>
      <c r="J66" s="10" t="s">
        <v>49</v>
      </c>
      <c r="K66" s="10"/>
      <c r="L66" s="10"/>
      <c r="M66" s="10"/>
      <c r="N66" s="11"/>
      <c r="O66" s="11" t="str">
        <f aca="false">IF(N66="","",N66-TIME(4,0,0))</f>
        <v/>
      </c>
      <c r="P66" s="13" t="str">
        <f aca="false">IF(N66="","",ROUND((N66-G66)*1440,1))</f>
        <v/>
      </c>
      <c r="Q66" s="10" t="str">
        <f aca="false">IF(N66="","No","Yes")</f>
        <v>No</v>
      </c>
    </row>
    <row r="67" customFormat="false" ht="15" hidden="false" customHeight="false" outlineLevel="0" collapsed="false">
      <c r="A67" s="10" t="s">
        <v>71</v>
      </c>
      <c r="B67" s="10" t="n">
        <v>21</v>
      </c>
      <c r="C67" s="10"/>
      <c r="D67" s="10" t="s">
        <v>72</v>
      </c>
      <c r="E67" s="10" t="s">
        <v>73</v>
      </c>
      <c r="F67" s="10" t="s">
        <v>48</v>
      </c>
      <c r="G67" s="11" t="n">
        <v>46208.8958333333</v>
      </c>
      <c r="H67" s="11" t="n">
        <f aca="false">G67-TIME(4,0,0)</f>
        <v>46208.7291666667</v>
      </c>
      <c r="I67" s="12" t="n">
        <f aca="false">INT(H67)</f>
        <v>46208</v>
      </c>
      <c r="J67" s="10" t="s">
        <v>49</v>
      </c>
      <c r="K67" s="10"/>
      <c r="L67" s="10"/>
      <c r="M67" s="10"/>
      <c r="N67" s="11"/>
      <c r="O67" s="11" t="str">
        <f aca="false">IF(N67="","",N67-TIME(4,0,0))</f>
        <v/>
      </c>
      <c r="P67" s="13" t="str">
        <f aca="false">IF(N67="","",ROUND((N67-G67)*1440,1))</f>
        <v/>
      </c>
      <c r="Q67" s="10" t="str">
        <f aca="false">IF(N67="","No","Yes")</f>
        <v>No</v>
      </c>
    </row>
    <row r="68" customFormat="false" ht="15" hidden="false" customHeight="false" outlineLevel="0" collapsed="false">
      <c r="A68" s="10" t="s">
        <v>71</v>
      </c>
      <c r="B68" s="10" t="n">
        <v>22</v>
      </c>
      <c r="C68" s="10"/>
      <c r="D68" s="10" t="s">
        <v>77</v>
      </c>
      <c r="E68" s="10" t="s">
        <v>75</v>
      </c>
      <c r="F68" s="10" t="s">
        <v>48</v>
      </c>
      <c r="G68" s="11" t="n">
        <v>46209.0625</v>
      </c>
      <c r="H68" s="11" t="n">
        <f aca="false">G68-TIME(4,0,0)</f>
        <v>46208.8958333333</v>
      </c>
      <c r="I68" s="12" t="n">
        <f aca="false">INT(H68)</f>
        <v>46208</v>
      </c>
      <c r="J68" s="10" t="s">
        <v>49</v>
      </c>
      <c r="K68" s="10"/>
      <c r="L68" s="10"/>
      <c r="M68" s="10"/>
      <c r="N68" s="11"/>
      <c r="O68" s="11" t="str">
        <f aca="false">IF(N68="","",N68-TIME(4,0,0))</f>
        <v/>
      </c>
      <c r="P68" s="13" t="str">
        <f aca="false">IF(N68="","",ROUND((N68-G68)*1440,1))</f>
        <v/>
      </c>
      <c r="Q68" s="10" t="str">
        <f aca="false">IF(N68="","No","Yes")</f>
        <v>No</v>
      </c>
    </row>
    <row r="69" customFormat="false" ht="15" hidden="false" customHeight="false" outlineLevel="0" collapsed="false">
      <c r="A69" s="10" t="s">
        <v>71</v>
      </c>
      <c r="B69" s="10" t="n">
        <v>23</v>
      </c>
      <c r="C69" s="10"/>
      <c r="D69" s="10" t="s">
        <v>77</v>
      </c>
      <c r="E69" s="10" t="s">
        <v>75</v>
      </c>
      <c r="F69" s="10" t="s">
        <v>48</v>
      </c>
      <c r="G69" s="11" t="n">
        <v>46212.0208333333</v>
      </c>
      <c r="H69" s="11" t="n">
        <f aca="false">G69-TIME(4,0,0)</f>
        <v>46211.8541666667</v>
      </c>
      <c r="I69" s="12" t="n">
        <f aca="false">INT(H69)</f>
        <v>46211</v>
      </c>
      <c r="J69" s="10" t="s">
        <v>49</v>
      </c>
      <c r="K69" s="10"/>
      <c r="L69" s="10"/>
      <c r="M69" s="10"/>
      <c r="N69" s="11"/>
      <c r="O69" s="11" t="str">
        <f aca="false">IF(N69="","",N69-TIME(4,0,0))</f>
        <v/>
      </c>
      <c r="P69" s="13" t="str">
        <f aca="false">IF(N69="","",ROUND((N69-G69)*1440,1))</f>
        <v/>
      </c>
      <c r="Q69" s="10" t="str">
        <f aca="false">IF(N69="","No","Yes")</f>
        <v>No</v>
      </c>
    </row>
    <row r="70" customFormat="false" ht="15" hidden="false" customHeight="false" outlineLevel="0" collapsed="false">
      <c r="A70" s="10" t="s">
        <v>71</v>
      </c>
      <c r="B70" s="10" t="n">
        <v>24</v>
      </c>
      <c r="C70" s="10"/>
      <c r="D70" s="10" t="s">
        <v>74</v>
      </c>
      <c r="E70" s="10" t="s">
        <v>76</v>
      </c>
      <c r="F70" s="10" t="s">
        <v>48</v>
      </c>
      <c r="G70" s="11" t="n">
        <v>46213.0208333333</v>
      </c>
      <c r="H70" s="11" t="n">
        <f aca="false">G70-TIME(4,0,0)</f>
        <v>46212.8541666667</v>
      </c>
      <c r="I70" s="12" t="n">
        <f aca="false">INT(H70)</f>
        <v>46212</v>
      </c>
      <c r="J70" s="10" t="s">
        <v>49</v>
      </c>
      <c r="K70" s="10"/>
      <c r="L70" s="10"/>
      <c r="M70" s="10"/>
      <c r="N70" s="11"/>
      <c r="O70" s="11" t="str">
        <f aca="false">IF(N70="","",N70-TIME(4,0,0))</f>
        <v/>
      </c>
      <c r="P70" s="13" t="str">
        <f aca="false">IF(N70="","",ROUND((N70-G70)*1440,1))</f>
        <v/>
      </c>
      <c r="Q70" s="10" t="str">
        <f aca="false">IF(N70="","No","Yes")</f>
        <v>No</v>
      </c>
    </row>
    <row r="71" customFormat="false" ht="15" hidden="false" customHeight="false" outlineLevel="0" collapsed="false">
      <c r="A71" s="10" t="s">
        <v>71</v>
      </c>
      <c r="B71" s="10" t="n">
        <v>25</v>
      </c>
      <c r="C71" s="10"/>
      <c r="D71" s="10" t="s">
        <v>77</v>
      </c>
      <c r="E71" s="10" t="s">
        <v>72</v>
      </c>
      <c r="F71" s="10" t="s">
        <v>48</v>
      </c>
      <c r="G71" s="11" t="n">
        <v>46213.8541666667</v>
      </c>
      <c r="H71" s="11" t="n">
        <f aca="false">G71-TIME(4,0,0)</f>
        <v>46213.6875</v>
      </c>
      <c r="I71" s="12" t="n">
        <f aca="false">INT(H71)</f>
        <v>46213</v>
      </c>
      <c r="J71" s="10" t="s">
        <v>49</v>
      </c>
      <c r="K71" s="10"/>
      <c r="L71" s="10"/>
      <c r="M71" s="10"/>
      <c r="N71" s="11"/>
      <c r="O71" s="11" t="str">
        <f aca="false">IF(N71="","",N71-TIME(4,0,0))</f>
        <v/>
      </c>
      <c r="P71" s="13" t="str">
        <f aca="false">IF(N71="","",ROUND((N71-G71)*1440,1))</f>
        <v/>
      </c>
      <c r="Q71" s="10" t="str">
        <f aca="false">IF(N71="","No","Yes")</f>
        <v>No</v>
      </c>
    </row>
    <row r="72" customFormat="false" ht="15" hidden="false" customHeight="false" outlineLevel="0" collapsed="false">
      <c r="A72" s="10" t="s">
        <v>71</v>
      </c>
      <c r="B72" s="10" t="n">
        <v>26</v>
      </c>
      <c r="C72" s="10"/>
      <c r="D72" s="10" t="s">
        <v>74</v>
      </c>
      <c r="E72" s="10" t="s">
        <v>75</v>
      </c>
      <c r="F72" s="10" t="s">
        <v>48</v>
      </c>
      <c r="G72" s="11" t="n">
        <v>46214.0208333333</v>
      </c>
      <c r="H72" s="11" t="n">
        <f aca="false">G72-TIME(4,0,0)</f>
        <v>46213.8541666667</v>
      </c>
      <c r="I72" s="12" t="n">
        <f aca="false">INT(H72)</f>
        <v>46213</v>
      </c>
      <c r="J72" s="10" t="s">
        <v>49</v>
      </c>
      <c r="K72" s="10"/>
      <c r="L72" s="10"/>
      <c r="M72" s="10"/>
      <c r="N72" s="11"/>
      <c r="O72" s="11" t="str">
        <f aca="false">IF(N72="","",N72-TIME(4,0,0))</f>
        <v/>
      </c>
      <c r="P72" s="13" t="str">
        <f aca="false">IF(N72="","",ROUND((N72-G72)*1440,1))</f>
        <v/>
      </c>
      <c r="Q72" s="10" t="str">
        <f aca="false">IF(N72="","No","Yes")</f>
        <v>No</v>
      </c>
    </row>
    <row r="73" customFormat="false" ht="15" hidden="false" customHeight="false" outlineLevel="0" collapsed="false">
      <c r="A73" s="10" t="s">
        <v>71</v>
      </c>
      <c r="B73" s="10" t="n">
        <v>27</v>
      </c>
      <c r="C73" s="10"/>
      <c r="D73" s="10" t="s">
        <v>73</v>
      </c>
      <c r="E73" s="10" t="s">
        <v>76</v>
      </c>
      <c r="F73" s="10" t="s">
        <v>48</v>
      </c>
      <c r="G73" s="11" t="n">
        <v>46214.8541666667</v>
      </c>
      <c r="H73" s="11" t="n">
        <f aca="false">G73-TIME(4,0,0)</f>
        <v>46214.6875</v>
      </c>
      <c r="I73" s="12" t="n">
        <f aca="false">INT(H73)</f>
        <v>46214</v>
      </c>
      <c r="J73" s="10" t="s">
        <v>49</v>
      </c>
      <c r="K73" s="10"/>
      <c r="L73" s="10"/>
      <c r="M73" s="10"/>
      <c r="N73" s="11"/>
      <c r="O73" s="11" t="str">
        <f aca="false">IF(N73="","",N73-TIME(4,0,0))</f>
        <v/>
      </c>
      <c r="P73" s="13" t="str">
        <f aca="false">IF(N73="","",ROUND((N73-G73)*1440,1))</f>
        <v/>
      </c>
      <c r="Q73" s="10" t="str">
        <f aca="false">IF(N73="","No","Yes")</f>
        <v>No</v>
      </c>
    </row>
    <row r="74" customFormat="false" ht="15" hidden="false" customHeight="false" outlineLevel="0" collapsed="false">
      <c r="A74" s="10" t="s">
        <v>71</v>
      </c>
      <c r="B74" s="10" t="n">
        <v>28</v>
      </c>
      <c r="C74" s="10"/>
      <c r="D74" s="10" t="s">
        <v>75</v>
      </c>
      <c r="E74" s="10" t="s">
        <v>72</v>
      </c>
      <c r="F74" s="10" t="s">
        <v>48</v>
      </c>
      <c r="G74" s="11" t="n">
        <v>46215.0208333333</v>
      </c>
      <c r="H74" s="11" t="n">
        <f aca="false">G74-TIME(4,0,0)</f>
        <v>46214.8541666667</v>
      </c>
      <c r="I74" s="12" t="n">
        <f aca="false">INT(H74)</f>
        <v>46214</v>
      </c>
      <c r="J74" s="10" t="s">
        <v>49</v>
      </c>
      <c r="K74" s="10"/>
      <c r="L74" s="10"/>
      <c r="M74" s="10"/>
      <c r="N74" s="11"/>
      <c r="O74" s="11" t="str">
        <f aca="false">IF(N74="","",N74-TIME(4,0,0))</f>
        <v/>
      </c>
      <c r="P74" s="13" t="str">
        <f aca="false">IF(N74="","",ROUND((N74-G74)*1440,1))</f>
        <v/>
      </c>
      <c r="Q74" s="10" t="str">
        <f aca="false">IF(N74="","No","Yes")</f>
        <v>No</v>
      </c>
    </row>
    <row r="75" customFormat="false" ht="15" hidden="false" customHeight="false" outlineLevel="0" collapsed="false">
      <c r="A75" s="10" t="s">
        <v>71</v>
      </c>
      <c r="B75" s="10" t="n">
        <v>29</v>
      </c>
      <c r="C75" s="10"/>
      <c r="D75" s="10" t="s">
        <v>77</v>
      </c>
      <c r="E75" s="10" t="s">
        <v>76</v>
      </c>
      <c r="F75" s="10" t="s">
        <v>48</v>
      </c>
      <c r="G75" s="11" t="n">
        <v>46215.8541666667</v>
      </c>
      <c r="H75" s="11" t="n">
        <f aca="false">G75-TIME(4,0,0)</f>
        <v>46215.6875</v>
      </c>
      <c r="I75" s="12" t="n">
        <f aca="false">INT(H75)</f>
        <v>46215</v>
      </c>
      <c r="J75" s="10" t="s">
        <v>49</v>
      </c>
      <c r="K75" s="10"/>
      <c r="L75" s="10"/>
      <c r="M75" s="10"/>
      <c r="N75" s="11"/>
      <c r="O75" s="11" t="str">
        <f aca="false">IF(N75="","",N75-TIME(4,0,0))</f>
        <v/>
      </c>
      <c r="P75" s="13" t="str">
        <f aca="false">IF(N75="","",ROUND((N75-G75)*1440,1))</f>
        <v/>
      </c>
      <c r="Q75" s="10" t="str">
        <f aca="false">IF(N75="","No","Yes")</f>
        <v>No</v>
      </c>
    </row>
    <row r="76" customFormat="false" ht="15" hidden="false" customHeight="false" outlineLevel="0" collapsed="false">
      <c r="A76" s="10" t="s">
        <v>71</v>
      </c>
      <c r="B76" s="10" t="n">
        <v>30</v>
      </c>
      <c r="C76" s="10"/>
      <c r="D76" s="10" t="s">
        <v>74</v>
      </c>
      <c r="E76" s="10" t="s">
        <v>73</v>
      </c>
      <c r="F76" s="10" t="s">
        <v>48</v>
      </c>
      <c r="G76" s="11" t="n">
        <v>46216.0208333333</v>
      </c>
      <c r="H76" s="11" t="n">
        <f aca="false">G76-TIME(4,0,0)</f>
        <v>46215.8541666667</v>
      </c>
      <c r="I76" s="12" t="n">
        <f aca="false">INT(H76)</f>
        <v>46215</v>
      </c>
      <c r="J76" s="10" t="s">
        <v>49</v>
      </c>
      <c r="K76" s="10"/>
      <c r="L76" s="10"/>
      <c r="M76" s="10"/>
      <c r="N76" s="11"/>
      <c r="O76" s="11" t="str">
        <f aca="false">IF(N76="","",N76-TIME(4,0,0))</f>
        <v/>
      </c>
      <c r="P76" s="13" t="str">
        <f aca="false">IF(N76="","",ROUND((N76-G76)*1440,1))</f>
        <v/>
      </c>
      <c r="Q76" s="10" t="str">
        <f aca="false">IF(N76="","No","Yes")</f>
        <v>No</v>
      </c>
    </row>
    <row r="77" customFormat="false" ht="15" hidden="false" customHeight="false" outlineLevel="0" collapsed="false">
      <c r="A77" s="10" t="s">
        <v>71</v>
      </c>
      <c r="B77" s="10" t="n">
        <v>31</v>
      </c>
      <c r="C77" s="10" t="s">
        <v>80</v>
      </c>
      <c r="D77" s="10" t="s">
        <v>74</v>
      </c>
      <c r="E77" s="10" t="s">
        <v>75</v>
      </c>
      <c r="F77" s="10" t="s">
        <v>48</v>
      </c>
      <c r="G77" s="11" t="n">
        <v>46218.8958333333</v>
      </c>
      <c r="H77" s="11" t="n">
        <f aca="false">G77-TIME(4,0,0)</f>
        <v>46218.7291666667</v>
      </c>
      <c r="I77" s="12" t="n">
        <f aca="false">INT(H77)</f>
        <v>46218</v>
      </c>
      <c r="J77" s="10" t="s">
        <v>49</v>
      </c>
      <c r="K77" s="10"/>
      <c r="L77" s="10"/>
      <c r="M77" s="10"/>
      <c r="N77" s="11"/>
      <c r="O77" s="11" t="str">
        <f aca="false">IF(N77="","",N77-TIME(4,0,0))</f>
        <v/>
      </c>
      <c r="P77" s="13" t="str">
        <f aca="false">IF(N77="","",ROUND((N77-G77)*1440,1))</f>
        <v/>
      </c>
      <c r="Q77" s="10" t="str">
        <f aca="false">IF(N77="","No","Yes")</f>
        <v>No</v>
      </c>
    </row>
    <row r="78" customFormat="false" ht="15" hidden="false" customHeight="false" outlineLevel="0" collapsed="false">
      <c r="A78" s="10" t="s">
        <v>71</v>
      </c>
      <c r="B78" s="10" t="n">
        <v>32</v>
      </c>
      <c r="C78" s="10" t="s">
        <v>81</v>
      </c>
      <c r="D78" s="10" t="s">
        <v>77</v>
      </c>
      <c r="E78" s="10" t="s">
        <v>76</v>
      </c>
      <c r="F78" s="10" t="s">
        <v>48</v>
      </c>
      <c r="G78" s="11" t="n">
        <v>46219.0729166667</v>
      </c>
      <c r="H78" s="11" t="n">
        <f aca="false">G78-TIME(4,0,0)</f>
        <v>46218.90625</v>
      </c>
      <c r="I78" s="12" t="n">
        <f aca="false">INT(H78)</f>
        <v>46218</v>
      </c>
      <c r="J78" s="10" t="s">
        <v>49</v>
      </c>
      <c r="K78" s="10"/>
      <c r="L78" s="10"/>
      <c r="M78" s="10"/>
      <c r="N78" s="11"/>
      <c r="O78" s="11" t="str">
        <f aca="false">IF(N78="","",N78-TIME(4,0,0))</f>
        <v/>
      </c>
      <c r="P78" s="13" t="str">
        <f aca="false">IF(N78="","",ROUND((N78-G78)*1440,1))</f>
        <v/>
      </c>
      <c r="Q78" s="10" t="str">
        <f aca="false">IF(N78="","No","Yes")</f>
        <v>No</v>
      </c>
    </row>
    <row r="79" customFormat="false" ht="15" hidden="false" customHeight="false" outlineLevel="0" collapsed="false">
      <c r="A79" s="10" t="s">
        <v>71</v>
      </c>
      <c r="B79" s="10" t="n">
        <v>33</v>
      </c>
      <c r="C79" s="10" t="s">
        <v>82</v>
      </c>
      <c r="D79" s="10" t="s">
        <v>75</v>
      </c>
      <c r="E79" s="10" t="s">
        <v>76</v>
      </c>
      <c r="F79" s="10" t="s">
        <v>48</v>
      </c>
      <c r="G79" s="11" t="n">
        <v>46220.0625</v>
      </c>
      <c r="H79" s="11" t="n">
        <f aca="false">G79-TIME(4,0,0)</f>
        <v>46219.8958333333</v>
      </c>
      <c r="I79" s="12" t="n">
        <f aca="false">INT(H79)</f>
        <v>46219</v>
      </c>
      <c r="J79" s="10" t="s">
        <v>49</v>
      </c>
      <c r="K79" s="10"/>
      <c r="L79" s="10"/>
      <c r="M79" s="10"/>
      <c r="N79" s="11"/>
      <c r="O79" s="11" t="str">
        <f aca="false">IF(N79="","",N79-TIME(4,0,0))</f>
        <v/>
      </c>
      <c r="P79" s="13" t="str">
        <f aca="false">IF(N79="","",ROUND((N79-G79)*1440,1))</f>
        <v/>
      </c>
      <c r="Q79" s="10" t="str">
        <f aca="false">IF(N79="","No","Yes")</f>
        <v>No</v>
      </c>
    </row>
    <row r="80" customFormat="false" ht="15" hidden="false" customHeight="false" outlineLevel="0" collapsed="false">
      <c r="A80" s="10" t="s">
        <v>71</v>
      </c>
      <c r="B80" s="10" t="n">
        <v>34</v>
      </c>
      <c r="C80" s="10" t="s">
        <v>83</v>
      </c>
      <c r="D80" s="10" t="s">
        <v>74</v>
      </c>
      <c r="E80" s="10" t="s">
        <v>76</v>
      </c>
      <c r="F80" s="10" t="s">
        <v>48</v>
      </c>
      <c r="G80" s="11" t="n">
        <v>46221.9791666667</v>
      </c>
      <c r="H80" s="11" t="n">
        <f aca="false">G80-TIME(4,0,0)</f>
        <v>46221.8125</v>
      </c>
      <c r="I80" s="12" t="n">
        <f aca="false">INT(H80)</f>
        <v>46221</v>
      </c>
      <c r="J80" s="10" t="s">
        <v>49</v>
      </c>
      <c r="K80" s="10"/>
      <c r="L80" s="10"/>
      <c r="M80" s="10"/>
      <c r="N80" s="11"/>
      <c r="O80" s="11" t="str">
        <f aca="false">IF(N80="","",N80-TIME(4,0,0))</f>
        <v/>
      </c>
      <c r="P80" s="13" t="str">
        <f aca="false">IF(N80="","",ROUND((N80-G80)*1440,1))</f>
        <v/>
      </c>
      <c r="Q80" s="10" t="str">
        <f aca="false">IF(N80="","No","Yes")</f>
        <v>No</v>
      </c>
    </row>
    <row r="81" customFormat="false" ht="15" hidden="false" customHeight="false" outlineLevel="0" collapsed="false">
      <c r="A81" s="10" t="s">
        <v>84</v>
      </c>
      <c r="B81" s="10" t="n">
        <v>1</v>
      </c>
      <c r="C81" s="10"/>
      <c r="D81" s="10" t="s">
        <v>85</v>
      </c>
      <c r="E81" s="10" t="s">
        <v>86</v>
      </c>
      <c r="F81" s="10" t="s">
        <v>48</v>
      </c>
      <c r="G81" s="11" t="n">
        <v>46241.9583333333</v>
      </c>
      <c r="H81" s="11" t="n">
        <f aca="false">G81-TIME(4,0,0)</f>
        <v>46241.7916666667</v>
      </c>
      <c r="I81" s="12" t="n">
        <f aca="false">INT(H81)</f>
        <v>46241</v>
      </c>
      <c r="J81" s="10" t="s">
        <v>49</v>
      </c>
      <c r="K81" s="10"/>
      <c r="L81" s="10"/>
      <c r="M81" s="10"/>
      <c r="N81" s="11"/>
      <c r="O81" s="11" t="str">
        <f aca="false">IF(N81="","",N81-TIME(4,0,0))</f>
        <v/>
      </c>
      <c r="P81" s="13" t="str">
        <f aca="false">IF(N81="","",ROUND((N81-G81)*1440,1))</f>
        <v/>
      </c>
      <c r="Q81" s="10" t="str">
        <f aca="false">IF(N81="","No","Yes")</f>
        <v>No</v>
      </c>
    </row>
    <row r="82" customFormat="false" ht="15" hidden="false" customHeight="false" outlineLevel="0" collapsed="false">
      <c r="A82" s="10" t="s">
        <v>84</v>
      </c>
      <c r="B82" s="10" t="n">
        <v>2</v>
      </c>
      <c r="C82" s="10"/>
      <c r="D82" s="10" t="s">
        <v>87</v>
      </c>
      <c r="E82" s="10" t="s">
        <v>88</v>
      </c>
      <c r="F82" s="10" t="s">
        <v>48</v>
      </c>
      <c r="G82" s="11" t="n">
        <v>46242.9583333333</v>
      </c>
      <c r="H82" s="11" t="n">
        <f aca="false">G82-TIME(4,0,0)</f>
        <v>46242.7916666667</v>
      </c>
      <c r="I82" s="12" t="n">
        <f aca="false">INT(H82)</f>
        <v>46242</v>
      </c>
      <c r="J82" s="10" t="s">
        <v>49</v>
      </c>
      <c r="K82" s="10"/>
      <c r="L82" s="10"/>
      <c r="M82" s="10"/>
      <c r="N82" s="11"/>
      <c r="O82" s="11" t="str">
        <f aca="false">IF(N82="","",N82-TIME(4,0,0))</f>
        <v/>
      </c>
      <c r="P82" s="13" t="str">
        <f aca="false">IF(N82="","",ROUND((N82-G82)*1440,1))</f>
        <v/>
      </c>
      <c r="Q82" s="10" t="str">
        <f aca="false">IF(N82="","No","Yes")</f>
        <v>No</v>
      </c>
    </row>
    <row r="83" customFormat="false" ht="15" hidden="false" customHeight="false" outlineLevel="0" collapsed="false">
      <c r="A83" s="10" t="s">
        <v>84</v>
      </c>
      <c r="B83" s="10" t="n">
        <v>3</v>
      </c>
      <c r="C83" s="10"/>
      <c r="D83" s="10" t="s">
        <v>85</v>
      </c>
      <c r="E83" s="10" t="s">
        <v>89</v>
      </c>
      <c r="F83" s="10" t="s">
        <v>48</v>
      </c>
      <c r="G83" s="11" t="n">
        <v>46243.9583333333</v>
      </c>
      <c r="H83" s="11" t="n">
        <f aca="false">G83-TIME(4,0,0)</f>
        <v>46243.7916666667</v>
      </c>
      <c r="I83" s="12" t="n">
        <f aca="false">INT(H83)</f>
        <v>46243</v>
      </c>
      <c r="J83" s="10" t="s">
        <v>49</v>
      </c>
      <c r="K83" s="10"/>
      <c r="L83" s="10"/>
      <c r="M83" s="10"/>
      <c r="N83" s="11"/>
      <c r="O83" s="11" t="str">
        <f aca="false">IF(N83="","",N83-TIME(4,0,0))</f>
        <v/>
      </c>
      <c r="P83" s="13" t="str">
        <f aca="false">IF(N83="","",ROUND((N83-G83)*1440,1))</f>
        <v/>
      </c>
      <c r="Q83" s="10" t="str">
        <f aca="false">IF(N83="","No","Yes")</f>
        <v>No</v>
      </c>
    </row>
    <row r="84" customFormat="false" ht="15" hidden="false" customHeight="false" outlineLevel="0" collapsed="false">
      <c r="A84" s="10" t="s">
        <v>84</v>
      </c>
      <c r="B84" s="10" t="n">
        <v>4</v>
      </c>
      <c r="C84" s="10"/>
      <c r="D84" s="10" t="s">
        <v>90</v>
      </c>
      <c r="E84" s="10" t="s">
        <v>86</v>
      </c>
      <c r="F84" s="10" t="s">
        <v>48</v>
      </c>
      <c r="G84" s="11" t="n">
        <v>46245.9166666667</v>
      </c>
      <c r="H84" s="11" t="n">
        <f aca="false">G84-TIME(4,0,0)</f>
        <v>46245.75</v>
      </c>
      <c r="I84" s="12" t="n">
        <f aca="false">INT(H84)</f>
        <v>46245</v>
      </c>
      <c r="J84" s="10" t="s">
        <v>49</v>
      </c>
      <c r="K84" s="10"/>
      <c r="L84" s="10"/>
      <c r="M84" s="10"/>
      <c r="N84" s="11"/>
      <c r="O84" s="11" t="str">
        <f aca="false">IF(N84="","",N84-TIME(4,0,0))</f>
        <v/>
      </c>
      <c r="P84" s="13" t="str">
        <f aca="false">IF(N84="","",ROUND((N84-G84)*1440,1))</f>
        <v/>
      </c>
      <c r="Q84" s="10" t="str">
        <f aca="false">IF(N84="","No","Yes")</f>
        <v>No</v>
      </c>
    </row>
    <row r="85" customFormat="false" ht="15" hidden="false" customHeight="false" outlineLevel="0" collapsed="false">
      <c r="A85" s="10" t="s">
        <v>84</v>
      </c>
      <c r="B85" s="10" t="n">
        <v>5</v>
      </c>
      <c r="C85" s="10"/>
      <c r="D85" s="10" t="s">
        <v>89</v>
      </c>
      <c r="E85" s="10" t="s">
        <v>87</v>
      </c>
      <c r="F85" s="10" t="s">
        <v>48</v>
      </c>
      <c r="G85" s="11" t="n">
        <v>46246.9583333333</v>
      </c>
      <c r="H85" s="11" t="n">
        <f aca="false">G85-TIME(4,0,0)</f>
        <v>46246.7916666667</v>
      </c>
      <c r="I85" s="12" t="n">
        <f aca="false">INT(H85)</f>
        <v>46246</v>
      </c>
      <c r="J85" s="10" t="s">
        <v>49</v>
      </c>
      <c r="K85" s="10"/>
      <c r="L85" s="10"/>
      <c r="M85" s="10"/>
      <c r="N85" s="11"/>
      <c r="O85" s="11" t="str">
        <f aca="false">IF(N85="","",N85-TIME(4,0,0))</f>
        <v/>
      </c>
      <c r="P85" s="13" t="str">
        <f aca="false">IF(N85="","",ROUND((N85-G85)*1440,1))</f>
        <v/>
      </c>
      <c r="Q85" s="10" t="str">
        <f aca="false">IF(N85="","No","Yes")</f>
        <v>No</v>
      </c>
    </row>
    <row r="86" customFormat="false" ht="15" hidden="false" customHeight="false" outlineLevel="0" collapsed="false">
      <c r="A86" s="10" t="s">
        <v>84</v>
      </c>
      <c r="B86" s="10" t="n">
        <v>6</v>
      </c>
      <c r="C86" s="10"/>
      <c r="D86" s="10" t="s">
        <v>91</v>
      </c>
      <c r="E86" s="10" t="s">
        <v>86</v>
      </c>
      <c r="F86" s="10" t="s">
        <v>48</v>
      </c>
      <c r="G86" s="11" t="n">
        <v>46248</v>
      </c>
      <c r="H86" s="11" t="n">
        <f aca="false">G86-TIME(4,0,0)</f>
        <v>46247.8333333333</v>
      </c>
      <c r="I86" s="12" t="n">
        <f aca="false">INT(H86)</f>
        <v>46247</v>
      </c>
      <c r="J86" s="10" t="s">
        <v>49</v>
      </c>
      <c r="K86" s="10"/>
      <c r="L86" s="10"/>
      <c r="M86" s="10"/>
      <c r="N86" s="11"/>
      <c r="O86" s="11" t="str">
        <f aca="false">IF(N86="","",N86-TIME(4,0,0))</f>
        <v/>
      </c>
      <c r="P86" s="13" t="str">
        <f aca="false">IF(N86="","",ROUND((N86-G86)*1440,1))</f>
        <v/>
      </c>
      <c r="Q86" s="10" t="str">
        <f aca="false">IF(N86="","No","Yes")</f>
        <v>No</v>
      </c>
    </row>
    <row r="87" customFormat="false" ht="15" hidden="false" customHeight="false" outlineLevel="0" collapsed="false">
      <c r="A87" s="10" t="s">
        <v>84</v>
      </c>
      <c r="B87" s="10" t="n">
        <v>7</v>
      </c>
      <c r="C87" s="10"/>
      <c r="D87" s="10" t="s">
        <v>85</v>
      </c>
      <c r="E87" s="10" t="s">
        <v>89</v>
      </c>
      <c r="F87" s="10" t="s">
        <v>48</v>
      </c>
      <c r="G87" s="11" t="n">
        <v>46248.9583333333</v>
      </c>
      <c r="H87" s="11" t="n">
        <f aca="false">G87-TIME(4,0,0)</f>
        <v>46248.7916666667</v>
      </c>
      <c r="I87" s="12" t="n">
        <f aca="false">INT(H87)</f>
        <v>46248</v>
      </c>
      <c r="J87" s="10" t="s">
        <v>49</v>
      </c>
      <c r="K87" s="10"/>
      <c r="L87" s="10"/>
      <c r="M87" s="10"/>
      <c r="N87" s="11"/>
      <c r="O87" s="11" t="str">
        <f aca="false">IF(N87="","",N87-TIME(4,0,0))</f>
        <v/>
      </c>
      <c r="P87" s="13" t="str">
        <f aca="false">IF(N87="","",ROUND((N87-G87)*1440,1))</f>
        <v/>
      </c>
      <c r="Q87" s="10" t="str">
        <f aca="false">IF(N87="","No","Yes")</f>
        <v>No</v>
      </c>
    </row>
    <row r="88" customFormat="false" ht="15" hidden="false" customHeight="false" outlineLevel="0" collapsed="false">
      <c r="A88" s="10" t="s">
        <v>84</v>
      </c>
      <c r="B88" s="10" t="n">
        <v>8</v>
      </c>
      <c r="C88" s="10"/>
      <c r="D88" s="10" t="s">
        <v>86</v>
      </c>
      <c r="E88" s="10" t="s">
        <v>88</v>
      </c>
      <c r="F88" s="10" t="s">
        <v>48</v>
      </c>
      <c r="G88" s="11" t="n">
        <v>46250</v>
      </c>
      <c r="H88" s="11" t="n">
        <f aca="false">G88-TIME(4,0,0)</f>
        <v>46249.8333333333</v>
      </c>
      <c r="I88" s="12" t="n">
        <f aca="false">INT(H88)</f>
        <v>46249</v>
      </c>
      <c r="J88" s="10" t="s">
        <v>49</v>
      </c>
      <c r="K88" s="10"/>
      <c r="L88" s="10"/>
      <c r="M88" s="10"/>
      <c r="N88" s="11"/>
      <c r="O88" s="11" t="str">
        <f aca="false">IF(N88="","",N88-TIME(4,0,0))</f>
        <v/>
      </c>
      <c r="P88" s="13" t="str">
        <f aca="false">IF(N88="","",ROUND((N88-G88)*1440,1))</f>
        <v/>
      </c>
      <c r="Q88" s="10" t="str">
        <f aca="false">IF(N88="","No","Yes")</f>
        <v>No</v>
      </c>
    </row>
    <row r="89" customFormat="false" ht="15" hidden="false" customHeight="false" outlineLevel="0" collapsed="false">
      <c r="A89" s="10" t="s">
        <v>84</v>
      </c>
      <c r="B89" s="10" t="n">
        <v>9</v>
      </c>
      <c r="C89" s="10"/>
      <c r="D89" s="10" t="s">
        <v>90</v>
      </c>
      <c r="E89" s="10" t="s">
        <v>89</v>
      </c>
      <c r="F89" s="10" t="s">
        <v>48</v>
      </c>
      <c r="G89" s="11" t="n">
        <v>46250.9583333333</v>
      </c>
      <c r="H89" s="11" t="n">
        <f aca="false">G89-TIME(4,0,0)</f>
        <v>46250.7916666667</v>
      </c>
      <c r="I89" s="12" t="n">
        <f aca="false">INT(H89)</f>
        <v>46250</v>
      </c>
      <c r="J89" s="10" t="s">
        <v>49</v>
      </c>
      <c r="K89" s="10"/>
      <c r="L89" s="10"/>
      <c r="M89" s="10"/>
      <c r="N89" s="11"/>
      <c r="O89" s="11" t="str">
        <f aca="false">IF(N89="","",N89-TIME(4,0,0))</f>
        <v/>
      </c>
      <c r="P89" s="13" t="str">
        <f aca="false">IF(N89="","",ROUND((N89-G89)*1440,1))</f>
        <v/>
      </c>
      <c r="Q89" s="10" t="str">
        <f aca="false">IF(N89="","No","Yes")</f>
        <v>No</v>
      </c>
    </row>
    <row r="90" customFormat="false" ht="15" hidden="false" customHeight="false" outlineLevel="0" collapsed="false">
      <c r="A90" s="10" t="s">
        <v>84</v>
      </c>
      <c r="B90" s="10" t="n">
        <v>10</v>
      </c>
      <c r="C90" s="10"/>
      <c r="D90" s="10" t="s">
        <v>86</v>
      </c>
      <c r="E90" s="10" t="s">
        <v>87</v>
      </c>
      <c r="F90" s="10" t="s">
        <v>48</v>
      </c>
      <c r="G90" s="11" t="n">
        <v>46253</v>
      </c>
      <c r="H90" s="11" t="n">
        <f aca="false">G90-TIME(4,0,0)</f>
        <v>46252.8333333333</v>
      </c>
      <c r="I90" s="12" t="n">
        <f aca="false">INT(H90)</f>
        <v>46252</v>
      </c>
      <c r="J90" s="10" t="s">
        <v>92</v>
      </c>
      <c r="K90" s="10"/>
      <c r="L90" s="10"/>
      <c r="M90" s="10"/>
      <c r="N90" s="11" t="n">
        <v>46253.0000031366</v>
      </c>
      <c r="O90" s="11" t="n">
        <f aca="false">IF(N90="","",N90-TIME(4,0,0))</f>
        <v>46252.8333364699</v>
      </c>
      <c r="P90" s="13" t="n">
        <f aca="false">IF(N90="","",ROUND((N90-G90)*1440,1))</f>
        <v>0</v>
      </c>
      <c r="Q90" s="10" t="str">
        <f aca="false">IF(N90="","No","Yes")</f>
        <v>Yes</v>
      </c>
    </row>
    <row r="91" customFormat="false" ht="15" hidden="false" customHeight="false" outlineLevel="0" collapsed="false">
      <c r="A91" s="10" t="s">
        <v>84</v>
      </c>
      <c r="B91" s="10" t="n">
        <v>11</v>
      </c>
      <c r="C91" s="10"/>
      <c r="D91" s="10" t="s">
        <v>91</v>
      </c>
      <c r="E91" s="10" t="s">
        <v>89</v>
      </c>
      <c r="F91" s="10" t="s">
        <v>48</v>
      </c>
      <c r="G91" s="11" t="n">
        <v>46253.9583333333</v>
      </c>
      <c r="H91" s="11" t="n">
        <f aca="false">G91-TIME(4,0,0)</f>
        <v>46253.7916666667</v>
      </c>
      <c r="I91" s="12" t="n">
        <f aca="false">INT(H91)</f>
        <v>46253</v>
      </c>
      <c r="J91" s="10" t="s">
        <v>93</v>
      </c>
      <c r="K91" s="10" t="s">
        <v>91</v>
      </c>
      <c r="L91" s="10" t="s">
        <v>94</v>
      </c>
      <c r="M91" s="10" t="s">
        <v>95</v>
      </c>
      <c r="N91" s="11" t="n">
        <v>46253.9486147454</v>
      </c>
      <c r="O91" s="11" t="n">
        <f aca="false">IF(N91="","",N91-TIME(4,0,0))</f>
        <v>46253.7819480787</v>
      </c>
      <c r="P91" s="13" t="n">
        <f aca="false">IF(N91="","",ROUND((N91-G91)*1440,1))</f>
        <v>-14</v>
      </c>
      <c r="Q91" s="10" t="str">
        <f aca="false">IF(N91="","No","Yes")</f>
        <v>Yes</v>
      </c>
    </row>
    <row r="92" customFormat="false" ht="15" hidden="false" customHeight="false" outlineLevel="0" collapsed="false">
      <c r="A92" s="10" t="s">
        <v>84</v>
      </c>
      <c r="B92" s="10" t="n">
        <v>12</v>
      </c>
      <c r="C92" s="10"/>
      <c r="D92" s="10" t="s">
        <v>85</v>
      </c>
      <c r="E92" s="10" t="s">
        <v>87</v>
      </c>
      <c r="F92" s="10" t="s">
        <v>48</v>
      </c>
      <c r="G92" s="11" t="n">
        <v>46254.9583333333</v>
      </c>
      <c r="H92" s="11" t="n">
        <f aca="false">G92-TIME(4,0,0)</f>
        <v>46254.7916666667</v>
      </c>
      <c r="I92" s="12" t="n">
        <f aca="false">INT(H92)</f>
        <v>46254</v>
      </c>
      <c r="J92" s="10" t="s">
        <v>93</v>
      </c>
      <c r="K92" s="10" t="s">
        <v>85</v>
      </c>
      <c r="L92" s="10" t="s">
        <v>94</v>
      </c>
      <c r="M92" s="10" t="s">
        <v>95</v>
      </c>
      <c r="N92" s="11" t="n">
        <v>46254.9534757176</v>
      </c>
      <c r="O92" s="11" t="n">
        <f aca="false">IF(N92="","",N92-TIME(4,0,0))</f>
        <v>46254.7868090509</v>
      </c>
      <c r="P92" s="13" t="n">
        <f aca="false">IF(N92="","",ROUND((N92-G92)*1440,1))</f>
        <v>-7</v>
      </c>
      <c r="Q92" s="10" t="str">
        <f aca="false">IF(N92="","No","Yes")</f>
        <v>Yes</v>
      </c>
    </row>
    <row r="93" customFormat="false" ht="15" hidden="false" customHeight="false" outlineLevel="0" collapsed="false">
      <c r="A93" s="10" t="s">
        <v>84</v>
      </c>
      <c r="B93" s="10" t="n">
        <v>13</v>
      </c>
      <c r="C93" s="10"/>
      <c r="D93" s="10" t="s">
        <v>86</v>
      </c>
      <c r="E93" s="10" t="s">
        <v>89</v>
      </c>
      <c r="F93" s="10" t="s">
        <v>48</v>
      </c>
      <c r="G93" s="11" t="n">
        <v>46255.9583333333</v>
      </c>
      <c r="H93" s="11" t="n">
        <f aca="false">G93-TIME(4,0,0)</f>
        <v>46255.7916666667</v>
      </c>
      <c r="I93" s="12" t="n">
        <f aca="false">INT(H93)</f>
        <v>46255</v>
      </c>
      <c r="J93" s="10" t="s">
        <v>93</v>
      </c>
      <c r="K93" s="10" t="s">
        <v>89</v>
      </c>
      <c r="L93" s="10" t="s">
        <v>94</v>
      </c>
      <c r="M93" s="10" t="s">
        <v>95</v>
      </c>
      <c r="N93" s="11" t="n">
        <v>46255.9542029745</v>
      </c>
      <c r="O93" s="11" t="n">
        <f aca="false">IF(N93="","",N93-TIME(4,0,0))</f>
        <v>46255.7875363079</v>
      </c>
      <c r="P93" s="13" t="n">
        <f aca="false">IF(N93="","",ROUND((N93-G93)*1440,1))</f>
        <v>-5.9</v>
      </c>
      <c r="Q93" s="10" t="str">
        <f aca="false">IF(N93="","No","Yes")</f>
        <v>Yes</v>
      </c>
    </row>
    <row r="94" customFormat="false" ht="15" hidden="false" customHeight="false" outlineLevel="0" collapsed="false">
      <c r="A94" s="10" t="s">
        <v>84</v>
      </c>
      <c r="B94" s="10" t="n">
        <v>14</v>
      </c>
      <c r="C94" s="10"/>
      <c r="D94" s="10" t="s">
        <v>85</v>
      </c>
      <c r="E94" s="10" t="s">
        <v>88</v>
      </c>
      <c r="F94" s="10" t="s">
        <v>48</v>
      </c>
      <c r="G94" s="11" t="n">
        <v>46256.9583333333</v>
      </c>
      <c r="H94" s="11" t="n">
        <f aca="false">G94-TIME(4,0,0)</f>
        <v>46256.7916666667</v>
      </c>
      <c r="I94" s="12" t="n">
        <f aca="false">INT(H94)</f>
        <v>46256</v>
      </c>
      <c r="J94" s="10" t="s">
        <v>93</v>
      </c>
      <c r="K94" s="10" t="s">
        <v>85</v>
      </c>
      <c r="L94" s="10" t="s">
        <v>94</v>
      </c>
      <c r="M94" s="10" t="s">
        <v>95</v>
      </c>
      <c r="N94" s="11" t="n">
        <v>46256.9513967361</v>
      </c>
      <c r="O94" s="11" t="n">
        <f aca="false">IF(N94="","",N94-TIME(4,0,0))</f>
        <v>46256.7847300695</v>
      </c>
      <c r="P94" s="13" t="n">
        <f aca="false">IF(N94="","",ROUND((N94-G94)*1440,1))</f>
        <v>-10</v>
      </c>
      <c r="Q94" s="10" t="str">
        <f aca="false">IF(N94="","No","Yes")</f>
        <v>Yes</v>
      </c>
    </row>
    <row r="95" customFormat="false" ht="15" hidden="false" customHeight="false" outlineLevel="0" collapsed="false">
      <c r="A95" s="10" t="s">
        <v>84</v>
      </c>
      <c r="B95" s="10" t="n">
        <v>15</v>
      </c>
      <c r="C95" s="10"/>
      <c r="D95" s="10" t="s">
        <v>85</v>
      </c>
      <c r="E95" s="10" t="s">
        <v>91</v>
      </c>
      <c r="F95" s="10" t="s">
        <v>96</v>
      </c>
      <c r="G95" s="11" t="n">
        <v>46257.96875</v>
      </c>
      <c r="H95" s="11" t="n">
        <f aca="false">G95-TIME(4,0,0)</f>
        <v>46257.8020833333</v>
      </c>
      <c r="I95" s="12" t="n">
        <f aca="false">INT(H95)</f>
        <v>46257</v>
      </c>
      <c r="J95" s="10" t="s">
        <v>49</v>
      </c>
      <c r="K95" s="10"/>
      <c r="L95" s="10"/>
      <c r="M95" s="10"/>
      <c r="N95" s="11"/>
      <c r="O95" s="11" t="str">
        <f aca="false">IF(N95="","",N95-TIME(4,0,0))</f>
        <v/>
      </c>
      <c r="P95" s="13" t="str">
        <f aca="false">IF(N95="","",ROUND((N95-G95)*1440,1))</f>
        <v/>
      </c>
      <c r="Q95" s="10" t="str">
        <f aca="false">IF(N95="","No","Yes")</f>
        <v>No</v>
      </c>
    </row>
    <row r="96" customFormat="false" ht="15" hidden="false" customHeight="false" outlineLevel="0" collapsed="false">
      <c r="A96" s="10" t="s">
        <v>84</v>
      </c>
      <c r="B96" s="10" t="n">
        <v>16</v>
      </c>
      <c r="C96" s="10"/>
      <c r="D96" s="10" t="s">
        <v>85</v>
      </c>
      <c r="E96" s="10" t="s">
        <v>90</v>
      </c>
      <c r="F96" s="10" t="s">
        <v>96</v>
      </c>
      <c r="G96" s="11" t="n">
        <v>46259.9583333333</v>
      </c>
      <c r="H96" s="11" t="n">
        <f aca="false">G96-TIME(4,0,0)</f>
        <v>46259.7916666667</v>
      </c>
      <c r="I96" s="12" t="n">
        <f aca="false">INT(H96)</f>
        <v>46259</v>
      </c>
      <c r="J96" s="10" t="s">
        <v>49</v>
      </c>
      <c r="K96" s="10"/>
      <c r="L96" s="10"/>
      <c r="M96" s="10"/>
      <c r="N96" s="11"/>
      <c r="O96" s="11" t="str">
        <f aca="false">IF(N96="","",N96-TIME(4,0,0))</f>
        <v/>
      </c>
      <c r="P96" s="13" t="str">
        <f aca="false">IF(N96="","",ROUND((N96-G96)*1440,1))</f>
        <v/>
      </c>
      <c r="Q96" s="10" t="str">
        <f aca="false">IF(N96="","No","Yes")</f>
        <v>No</v>
      </c>
    </row>
    <row r="97" customFormat="false" ht="15" hidden="false" customHeight="false" outlineLevel="0" collapsed="false">
      <c r="A97" s="10" t="s">
        <v>84</v>
      </c>
      <c r="B97" s="10" t="n">
        <v>17</v>
      </c>
      <c r="C97" s="10"/>
      <c r="D97" s="10" t="s">
        <v>89</v>
      </c>
      <c r="E97" s="10" t="s">
        <v>88</v>
      </c>
      <c r="F97" s="10" t="s">
        <v>96</v>
      </c>
      <c r="G97" s="11" t="n">
        <v>46260.9583333333</v>
      </c>
      <c r="H97" s="11" t="n">
        <f aca="false">G97-TIME(4,0,0)</f>
        <v>46260.7916666667</v>
      </c>
      <c r="I97" s="12" t="n">
        <f aca="false">INT(H97)</f>
        <v>46260</v>
      </c>
      <c r="J97" s="10" t="s">
        <v>49</v>
      </c>
      <c r="K97" s="10"/>
      <c r="L97" s="10"/>
      <c r="M97" s="10"/>
      <c r="N97" s="11"/>
      <c r="O97" s="11" t="str">
        <f aca="false">IF(N97="","",N97-TIME(4,0,0))</f>
        <v/>
      </c>
      <c r="P97" s="13" t="str">
        <f aca="false">IF(N97="","",ROUND((N97-G97)*1440,1))</f>
        <v/>
      </c>
      <c r="Q97" s="10" t="str">
        <f aca="false">IF(N97="","No","Yes")</f>
        <v>No</v>
      </c>
    </row>
    <row r="98" customFormat="false" ht="15" hidden="false" customHeight="false" outlineLevel="0" collapsed="false">
      <c r="A98" s="10" t="s">
        <v>84</v>
      </c>
      <c r="B98" s="10" t="n">
        <v>18</v>
      </c>
      <c r="C98" s="10"/>
      <c r="D98" s="10" t="s">
        <v>86</v>
      </c>
      <c r="E98" s="10" t="s">
        <v>87</v>
      </c>
      <c r="F98" s="10" t="s">
        <v>96</v>
      </c>
      <c r="G98" s="11" t="n">
        <v>46261.9583333333</v>
      </c>
      <c r="H98" s="11" t="n">
        <f aca="false">G98-TIME(4,0,0)</f>
        <v>46261.7916666667</v>
      </c>
      <c r="I98" s="12" t="n">
        <f aca="false">INT(H98)</f>
        <v>46261</v>
      </c>
      <c r="J98" s="10" t="s">
        <v>49</v>
      </c>
      <c r="K98" s="10"/>
      <c r="L98" s="10"/>
      <c r="M98" s="10"/>
      <c r="N98" s="11"/>
      <c r="O98" s="11" t="str">
        <f aca="false">IF(N98="","",N98-TIME(4,0,0))</f>
        <v/>
      </c>
      <c r="P98" s="13" t="str">
        <f aca="false">IF(N98="","",ROUND((N98-G98)*1440,1))</f>
        <v/>
      </c>
      <c r="Q98" s="10" t="str">
        <f aca="false">IF(N98="","No","Yes")</f>
        <v>No</v>
      </c>
    </row>
    <row r="99" customFormat="false" ht="15" hidden="false" customHeight="false" outlineLevel="0" collapsed="false">
      <c r="A99" s="10" t="s">
        <v>84</v>
      </c>
      <c r="B99" s="10" t="n">
        <v>19</v>
      </c>
      <c r="C99" s="10"/>
      <c r="D99" s="10" t="s">
        <v>90</v>
      </c>
      <c r="E99" s="10" t="s">
        <v>88</v>
      </c>
      <c r="F99" s="10" t="s">
        <v>96</v>
      </c>
      <c r="G99" s="11" t="n">
        <v>46263</v>
      </c>
      <c r="H99" s="11" t="n">
        <f aca="false">G99-TIME(4,0,0)</f>
        <v>46262.8333333333</v>
      </c>
      <c r="I99" s="12" t="n">
        <f aca="false">INT(H99)</f>
        <v>46262</v>
      </c>
      <c r="J99" s="10" t="s">
        <v>49</v>
      </c>
      <c r="K99" s="10"/>
      <c r="L99" s="10"/>
      <c r="M99" s="10"/>
      <c r="N99" s="11"/>
      <c r="O99" s="11" t="str">
        <f aca="false">IF(N99="","",N99-TIME(4,0,0))</f>
        <v/>
      </c>
      <c r="P99" s="13" t="str">
        <f aca="false">IF(N99="","",ROUND((N99-G99)*1440,1))</f>
        <v/>
      </c>
      <c r="Q99" s="10" t="str">
        <f aca="false">IF(N99="","No","Yes")</f>
        <v>No</v>
      </c>
    </row>
    <row r="100" customFormat="false" ht="15" hidden="false" customHeight="false" outlineLevel="0" collapsed="false">
      <c r="A100" s="10" t="s">
        <v>84</v>
      </c>
      <c r="B100" s="10" t="n">
        <v>20</v>
      </c>
      <c r="C100" s="10"/>
      <c r="D100" s="10" t="s">
        <v>86</v>
      </c>
      <c r="E100" s="10" t="s">
        <v>88</v>
      </c>
      <c r="F100" s="10" t="s">
        <v>96</v>
      </c>
      <c r="G100" s="11" t="n">
        <v>46263.9583333333</v>
      </c>
      <c r="H100" s="11" t="n">
        <f aca="false">G100-TIME(4,0,0)</f>
        <v>46263.7916666667</v>
      </c>
      <c r="I100" s="12" t="n">
        <f aca="false">INT(H100)</f>
        <v>46263</v>
      </c>
      <c r="J100" s="10" t="s">
        <v>49</v>
      </c>
      <c r="K100" s="10"/>
      <c r="L100" s="10"/>
      <c r="M100" s="10"/>
      <c r="N100" s="11"/>
      <c r="O100" s="11" t="str">
        <f aca="false">IF(N100="","",N100-TIME(4,0,0))</f>
        <v/>
      </c>
      <c r="P100" s="13" t="str">
        <f aca="false">IF(N100="","",ROUND((N100-G100)*1440,1))</f>
        <v/>
      </c>
      <c r="Q100" s="10" t="str">
        <f aca="false">IF(N100="","No","Yes")</f>
        <v>No</v>
      </c>
    </row>
    <row r="101" customFormat="false" ht="15" hidden="false" customHeight="false" outlineLevel="0" collapsed="false">
      <c r="A101" s="10" t="s">
        <v>84</v>
      </c>
      <c r="B101" s="10" t="n">
        <v>21</v>
      </c>
      <c r="C101" s="10"/>
      <c r="D101" s="10" t="s">
        <v>85</v>
      </c>
      <c r="E101" s="10" t="s">
        <v>87</v>
      </c>
      <c r="F101" s="10" t="s">
        <v>96</v>
      </c>
      <c r="G101" s="11" t="n">
        <v>46264.9583333333</v>
      </c>
      <c r="H101" s="11" t="n">
        <f aca="false">G101-TIME(4,0,0)</f>
        <v>46264.7916666667</v>
      </c>
      <c r="I101" s="12" t="n">
        <f aca="false">INT(H101)</f>
        <v>46264</v>
      </c>
      <c r="J101" s="10" t="s">
        <v>49</v>
      </c>
      <c r="K101" s="10"/>
      <c r="L101" s="10"/>
      <c r="M101" s="10"/>
      <c r="N101" s="11"/>
      <c r="O101" s="11" t="str">
        <f aca="false">IF(N101="","",N101-TIME(4,0,0))</f>
        <v/>
      </c>
      <c r="P101" s="13" t="str">
        <f aca="false">IF(N101="","",ROUND((N101-G101)*1440,1))</f>
        <v/>
      </c>
      <c r="Q101" s="10" t="str">
        <f aca="false">IF(N101="","No","Yes")</f>
        <v>No</v>
      </c>
    </row>
    <row r="102" customFormat="false" ht="15" hidden="false" customHeight="false" outlineLevel="0" collapsed="false">
      <c r="A102" s="10" t="s">
        <v>84</v>
      </c>
      <c r="B102" s="10" t="n">
        <v>22</v>
      </c>
      <c r="C102" s="10"/>
      <c r="D102" s="10" t="s">
        <v>91</v>
      </c>
      <c r="E102" s="10" t="s">
        <v>88</v>
      </c>
      <c r="F102" s="10" t="s">
        <v>96</v>
      </c>
      <c r="G102" s="11" t="n">
        <v>46265.875</v>
      </c>
      <c r="H102" s="11" t="n">
        <f aca="false">G102-TIME(4,0,0)</f>
        <v>46265.7083333333</v>
      </c>
      <c r="I102" s="12" t="n">
        <f aca="false">INT(H102)</f>
        <v>46265</v>
      </c>
      <c r="J102" s="10" t="s">
        <v>49</v>
      </c>
      <c r="K102" s="10"/>
      <c r="L102" s="10"/>
      <c r="M102" s="10"/>
      <c r="N102" s="11"/>
      <c r="O102" s="11" t="str">
        <f aca="false">IF(N102="","",N102-TIME(4,0,0))</f>
        <v/>
      </c>
      <c r="P102" s="13" t="str">
        <f aca="false">IF(N102="","",ROUND((N102-G102)*1440,1))</f>
        <v/>
      </c>
      <c r="Q102" s="10" t="str">
        <f aca="false">IF(N102="","No","Yes")</f>
        <v>No</v>
      </c>
    </row>
    <row r="103" customFormat="false" ht="15" hidden="false" customHeight="false" outlineLevel="0" collapsed="false">
      <c r="A103" s="10" t="s">
        <v>84</v>
      </c>
      <c r="B103" s="10" t="n">
        <v>23</v>
      </c>
      <c r="C103" s="10"/>
      <c r="D103" s="10" t="s">
        <v>90</v>
      </c>
      <c r="E103" s="10" t="s">
        <v>87</v>
      </c>
      <c r="F103" s="10" t="s">
        <v>96</v>
      </c>
      <c r="G103" s="11" t="n">
        <v>46266.9583333333</v>
      </c>
      <c r="H103" s="11" t="n">
        <f aca="false">G103-TIME(4,0,0)</f>
        <v>46266.7916666667</v>
      </c>
      <c r="I103" s="12" t="n">
        <f aca="false">INT(H103)</f>
        <v>46266</v>
      </c>
      <c r="J103" s="10" t="s">
        <v>49</v>
      </c>
      <c r="K103" s="10"/>
      <c r="L103" s="10"/>
      <c r="M103" s="10"/>
      <c r="N103" s="11"/>
      <c r="O103" s="11" t="str">
        <f aca="false">IF(N103="","",N103-TIME(4,0,0))</f>
        <v/>
      </c>
      <c r="P103" s="13" t="str">
        <f aca="false">IF(N103="","",ROUND((N103-G103)*1440,1))</f>
        <v/>
      </c>
      <c r="Q103" s="10" t="str">
        <f aca="false">IF(N103="","No","Yes")</f>
        <v>No</v>
      </c>
    </row>
    <row r="104" customFormat="false" ht="15" hidden="false" customHeight="false" outlineLevel="0" collapsed="false">
      <c r="A104" s="10" t="s">
        <v>84</v>
      </c>
      <c r="B104" s="10" t="n">
        <v>24</v>
      </c>
      <c r="C104" s="10"/>
      <c r="D104" s="10" t="s">
        <v>85</v>
      </c>
      <c r="E104" s="10" t="s">
        <v>88</v>
      </c>
      <c r="F104" s="10" t="s">
        <v>96</v>
      </c>
      <c r="G104" s="11" t="n">
        <v>46267.9583333333</v>
      </c>
      <c r="H104" s="11" t="n">
        <f aca="false">G104-TIME(4,0,0)</f>
        <v>46267.7916666667</v>
      </c>
      <c r="I104" s="12" t="n">
        <f aca="false">INT(H104)</f>
        <v>46267</v>
      </c>
      <c r="J104" s="10" t="s">
        <v>49</v>
      </c>
      <c r="K104" s="10"/>
      <c r="L104" s="10"/>
      <c r="M104" s="10"/>
      <c r="N104" s="11"/>
      <c r="O104" s="11" t="str">
        <f aca="false">IF(N104="","",N104-TIME(4,0,0))</f>
        <v/>
      </c>
      <c r="P104" s="13" t="str">
        <f aca="false">IF(N104="","",ROUND((N104-G104)*1440,1))</f>
        <v/>
      </c>
      <c r="Q104" s="10" t="str">
        <f aca="false">IF(N104="","No","Yes")</f>
        <v>No</v>
      </c>
    </row>
    <row r="105" customFormat="false" ht="15" hidden="false" customHeight="false" outlineLevel="0" collapsed="false">
      <c r="A105" s="10" t="s">
        <v>84</v>
      </c>
      <c r="B105" s="10" t="n">
        <v>25</v>
      </c>
      <c r="C105" s="10"/>
      <c r="D105" s="10" t="s">
        <v>89</v>
      </c>
      <c r="E105" s="10" t="s">
        <v>87</v>
      </c>
      <c r="F105" s="10" t="s">
        <v>96</v>
      </c>
      <c r="G105" s="11" t="n">
        <v>46268.9583333333</v>
      </c>
      <c r="H105" s="11" t="n">
        <f aca="false">G105-TIME(4,0,0)</f>
        <v>46268.7916666667</v>
      </c>
      <c r="I105" s="12" t="n">
        <f aca="false">INT(H105)</f>
        <v>46268</v>
      </c>
      <c r="J105" s="10" t="s">
        <v>49</v>
      </c>
      <c r="K105" s="10"/>
      <c r="L105" s="10"/>
      <c r="M105" s="10"/>
      <c r="N105" s="11"/>
      <c r="O105" s="11" t="str">
        <f aca="false">IF(N105="","",N105-TIME(4,0,0))</f>
        <v/>
      </c>
      <c r="P105" s="13" t="str">
        <f aca="false">IF(N105="","",ROUND((N105-G105)*1440,1))</f>
        <v/>
      </c>
      <c r="Q105" s="10" t="str">
        <f aca="false">IF(N105="","No","Yes")</f>
        <v>No</v>
      </c>
    </row>
    <row r="106" customFormat="false" ht="15" hidden="false" customHeight="false" outlineLevel="0" collapsed="false">
      <c r="A106" s="10" t="s">
        <v>84</v>
      </c>
      <c r="B106" s="10" t="n">
        <v>26</v>
      </c>
      <c r="C106" s="10"/>
      <c r="D106" s="10" t="s">
        <v>91</v>
      </c>
      <c r="E106" s="10" t="s">
        <v>86</v>
      </c>
      <c r="F106" s="10" t="s">
        <v>96</v>
      </c>
      <c r="G106" s="11" t="n">
        <v>46269.9583333333</v>
      </c>
      <c r="H106" s="11" t="n">
        <f aca="false">G106-TIME(4,0,0)</f>
        <v>46269.7916666667</v>
      </c>
      <c r="I106" s="12" t="n">
        <f aca="false">INT(H106)</f>
        <v>46269</v>
      </c>
      <c r="J106" s="10" t="s">
        <v>49</v>
      </c>
      <c r="K106" s="10"/>
      <c r="L106" s="10"/>
      <c r="M106" s="10"/>
      <c r="N106" s="11"/>
      <c r="O106" s="11" t="str">
        <f aca="false">IF(N106="","",N106-TIME(4,0,0))</f>
        <v/>
      </c>
      <c r="P106" s="13" t="str">
        <f aca="false">IF(N106="","",ROUND((N106-G106)*1440,1))</f>
        <v/>
      </c>
      <c r="Q106" s="10" t="str">
        <f aca="false">IF(N106="","No","Yes")</f>
        <v>No</v>
      </c>
    </row>
    <row r="107" customFormat="false" ht="15" hidden="false" customHeight="false" outlineLevel="0" collapsed="false">
      <c r="A107" s="10" t="s">
        <v>84</v>
      </c>
      <c r="B107" s="10" t="n">
        <v>27</v>
      </c>
      <c r="C107" s="10"/>
      <c r="D107" s="10" t="s">
        <v>90</v>
      </c>
      <c r="E107" s="10" t="s">
        <v>88</v>
      </c>
      <c r="F107" s="10" t="s">
        <v>96</v>
      </c>
      <c r="G107" s="11" t="n">
        <v>46271</v>
      </c>
      <c r="H107" s="11" t="n">
        <f aca="false">G107-TIME(4,0,0)</f>
        <v>46270.8333333333</v>
      </c>
      <c r="I107" s="12" t="n">
        <f aca="false">INT(H107)</f>
        <v>46270</v>
      </c>
      <c r="J107" s="10" t="s">
        <v>49</v>
      </c>
      <c r="K107" s="10"/>
      <c r="L107" s="10"/>
      <c r="M107" s="10"/>
      <c r="N107" s="11"/>
      <c r="O107" s="11" t="str">
        <f aca="false">IF(N107="","",N107-TIME(4,0,0))</f>
        <v/>
      </c>
      <c r="P107" s="13" t="str">
        <f aca="false">IF(N107="","",ROUND((N107-G107)*1440,1))</f>
        <v/>
      </c>
      <c r="Q107" s="10" t="str">
        <f aca="false">IF(N107="","No","Yes")</f>
        <v>No</v>
      </c>
    </row>
    <row r="108" customFormat="false" ht="15" hidden="false" customHeight="false" outlineLevel="0" collapsed="false">
      <c r="A108" s="10" t="s">
        <v>84</v>
      </c>
      <c r="B108" s="10" t="n">
        <v>28</v>
      </c>
      <c r="C108" s="10"/>
      <c r="D108" s="10" t="s">
        <v>91</v>
      </c>
      <c r="E108" s="10" t="s">
        <v>87</v>
      </c>
      <c r="F108" s="10" t="s">
        <v>96</v>
      </c>
      <c r="G108" s="11" t="n">
        <v>46271.5833333333</v>
      </c>
      <c r="H108" s="11" t="n">
        <f aca="false">G108-TIME(4,0,0)</f>
        <v>46271.4166666667</v>
      </c>
      <c r="I108" s="12" t="n">
        <f aca="false">INT(H108)</f>
        <v>46271</v>
      </c>
      <c r="J108" s="10" t="s">
        <v>49</v>
      </c>
      <c r="K108" s="10"/>
      <c r="L108" s="10"/>
      <c r="M108" s="10"/>
      <c r="N108" s="11"/>
      <c r="O108" s="11" t="str">
        <f aca="false">IF(N108="","",N108-TIME(4,0,0))</f>
        <v/>
      </c>
      <c r="P108" s="13" t="str">
        <f aca="false">IF(N108="","",ROUND((N108-G108)*1440,1))</f>
        <v/>
      </c>
      <c r="Q108" s="10" t="str">
        <f aca="false">IF(N108="","No","Yes")</f>
        <v>No</v>
      </c>
    </row>
    <row r="109" customFormat="false" ht="15" hidden="false" customHeight="false" outlineLevel="0" collapsed="false">
      <c r="A109" s="10" t="s">
        <v>84</v>
      </c>
      <c r="B109" s="10" t="n">
        <v>29</v>
      </c>
      <c r="C109" s="10"/>
      <c r="D109" s="10" t="s">
        <v>90</v>
      </c>
      <c r="E109" s="10" t="s">
        <v>89</v>
      </c>
      <c r="F109" s="10" t="s">
        <v>96</v>
      </c>
      <c r="G109" s="11" t="n">
        <v>46271.9583333333</v>
      </c>
      <c r="H109" s="11" t="n">
        <f aca="false">G109-TIME(4,0,0)</f>
        <v>46271.7916666667</v>
      </c>
      <c r="I109" s="12" t="n">
        <f aca="false">INT(H109)</f>
        <v>46271</v>
      </c>
      <c r="J109" s="10" t="s">
        <v>49</v>
      </c>
      <c r="K109" s="10"/>
      <c r="L109" s="10"/>
      <c r="M109" s="10"/>
      <c r="N109" s="11"/>
      <c r="O109" s="11" t="str">
        <f aca="false">IF(N109="","",N109-TIME(4,0,0))</f>
        <v/>
      </c>
      <c r="P109" s="13" t="str">
        <f aca="false">IF(N109="","",ROUND((N109-G109)*1440,1))</f>
        <v/>
      </c>
      <c r="Q109" s="10" t="str">
        <f aca="false">IF(N109="","No","Yes")</f>
        <v>No</v>
      </c>
    </row>
    <row r="110" customFormat="false" ht="15" hidden="false" customHeight="false" outlineLevel="0" collapsed="false">
      <c r="A110" s="10" t="s">
        <v>84</v>
      </c>
      <c r="B110" s="10" t="n">
        <v>30</v>
      </c>
      <c r="C110" s="10"/>
      <c r="D110" s="10" t="s">
        <v>85</v>
      </c>
      <c r="E110" s="10" t="s">
        <v>91</v>
      </c>
      <c r="F110" s="10" t="s">
        <v>96</v>
      </c>
      <c r="G110" s="11" t="n">
        <v>46273.9583333333</v>
      </c>
      <c r="H110" s="11" t="n">
        <f aca="false">G110-TIME(4,0,0)</f>
        <v>46273.7916666667</v>
      </c>
      <c r="I110" s="12" t="n">
        <f aca="false">INT(H110)</f>
        <v>46273</v>
      </c>
      <c r="J110" s="10" t="s">
        <v>49</v>
      </c>
      <c r="K110" s="10"/>
      <c r="L110" s="10"/>
      <c r="M110" s="10"/>
      <c r="N110" s="11"/>
      <c r="O110" s="11" t="str">
        <f aca="false">IF(N110="","",N110-TIME(4,0,0))</f>
        <v/>
      </c>
      <c r="P110" s="13" t="str">
        <f aca="false">IF(N110="","",ROUND((N110-G110)*1440,1))</f>
        <v/>
      </c>
      <c r="Q110" s="10" t="str">
        <f aca="false">IF(N110="","No","Yes")</f>
        <v>No</v>
      </c>
    </row>
    <row r="111" customFormat="false" ht="15" hidden="false" customHeight="false" outlineLevel="0" collapsed="false">
      <c r="A111" s="10" t="s">
        <v>84</v>
      </c>
      <c r="B111" s="10" t="n">
        <v>31</v>
      </c>
      <c r="C111" s="10"/>
      <c r="D111" s="10" t="s">
        <v>91</v>
      </c>
      <c r="E111" s="10" t="s">
        <v>89</v>
      </c>
      <c r="F111" s="10" t="s">
        <v>96</v>
      </c>
      <c r="G111" s="11" t="n">
        <v>46274.9583333333</v>
      </c>
      <c r="H111" s="11" t="n">
        <f aca="false">G111-TIME(4,0,0)</f>
        <v>46274.7916666667</v>
      </c>
      <c r="I111" s="12" t="n">
        <f aca="false">INT(H111)</f>
        <v>46274</v>
      </c>
      <c r="J111" s="10" t="s">
        <v>49</v>
      </c>
      <c r="K111" s="10"/>
      <c r="L111" s="10"/>
      <c r="M111" s="10"/>
      <c r="N111" s="11"/>
      <c r="O111" s="11" t="str">
        <f aca="false">IF(N111="","",N111-TIME(4,0,0))</f>
        <v/>
      </c>
      <c r="P111" s="13" t="str">
        <f aca="false">IF(N111="","",ROUND((N111-G111)*1440,1))</f>
        <v/>
      </c>
      <c r="Q111" s="10" t="str">
        <f aca="false">IF(N111="","No","Yes")</f>
        <v>No</v>
      </c>
    </row>
    <row r="112" customFormat="false" ht="15" hidden="false" customHeight="false" outlineLevel="0" collapsed="false">
      <c r="A112" s="10" t="s">
        <v>84</v>
      </c>
      <c r="B112" s="10" t="n">
        <v>32</v>
      </c>
      <c r="C112" s="10"/>
      <c r="D112" s="10" t="s">
        <v>90</v>
      </c>
      <c r="E112" s="10" t="s">
        <v>87</v>
      </c>
      <c r="F112" s="10" t="s">
        <v>96</v>
      </c>
      <c r="G112" s="11" t="n">
        <v>46275.9583333333</v>
      </c>
      <c r="H112" s="11" t="n">
        <f aca="false">G112-TIME(4,0,0)</f>
        <v>46275.7916666667</v>
      </c>
      <c r="I112" s="12" t="n">
        <f aca="false">INT(H112)</f>
        <v>46275</v>
      </c>
      <c r="J112" s="10" t="s">
        <v>49</v>
      </c>
      <c r="K112" s="10"/>
      <c r="L112" s="10"/>
      <c r="M112" s="10"/>
      <c r="N112" s="11"/>
      <c r="O112" s="11" t="str">
        <f aca="false">IF(N112="","",N112-TIME(4,0,0))</f>
        <v/>
      </c>
      <c r="P112" s="13" t="str">
        <f aca="false">IF(N112="","",ROUND((N112-G112)*1440,1))</f>
        <v/>
      </c>
      <c r="Q112" s="10" t="str">
        <f aca="false">IF(N112="","No","Yes")</f>
        <v>No</v>
      </c>
    </row>
    <row r="113" customFormat="false" ht="15" hidden="false" customHeight="false" outlineLevel="0" collapsed="false">
      <c r="A113" s="10" t="s">
        <v>84</v>
      </c>
      <c r="B113" s="10" t="n">
        <v>33</v>
      </c>
      <c r="C113" s="10"/>
      <c r="D113" s="10" t="s">
        <v>91</v>
      </c>
      <c r="E113" s="10" t="s">
        <v>88</v>
      </c>
      <c r="F113" s="10" t="s">
        <v>96</v>
      </c>
      <c r="G113" s="11" t="n">
        <v>46276.9583333333</v>
      </c>
      <c r="H113" s="11" t="n">
        <f aca="false">G113-TIME(4,0,0)</f>
        <v>46276.7916666667</v>
      </c>
      <c r="I113" s="12" t="n">
        <f aca="false">INT(H113)</f>
        <v>46276</v>
      </c>
      <c r="J113" s="10" t="s">
        <v>49</v>
      </c>
      <c r="K113" s="10"/>
      <c r="L113" s="10"/>
      <c r="M113" s="10"/>
      <c r="N113" s="11"/>
      <c r="O113" s="11" t="str">
        <f aca="false">IF(N113="","",N113-TIME(4,0,0))</f>
        <v/>
      </c>
      <c r="P113" s="13" t="str">
        <f aca="false">IF(N113="","",ROUND((N113-G113)*1440,1))</f>
        <v/>
      </c>
      <c r="Q113" s="10" t="str">
        <f aca="false">IF(N113="","No","Yes")</f>
        <v>No</v>
      </c>
    </row>
    <row r="114" customFormat="false" ht="15" hidden="false" customHeight="false" outlineLevel="0" collapsed="false">
      <c r="A114" s="10" t="s">
        <v>84</v>
      </c>
      <c r="B114" s="10" t="n">
        <v>34</v>
      </c>
      <c r="C114" s="10"/>
      <c r="D114" s="10" t="s">
        <v>90</v>
      </c>
      <c r="E114" s="10" t="s">
        <v>86</v>
      </c>
      <c r="F114" s="10" t="s">
        <v>96</v>
      </c>
      <c r="G114" s="11" t="n">
        <v>46278</v>
      </c>
      <c r="H114" s="11" t="n">
        <f aca="false">G114-TIME(4,0,0)</f>
        <v>46277.8333333333</v>
      </c>
      <c r="I114" s="12" t="n">
        <f aca="false">INT(H114)</f>
        <v>46277</v>
      </c>
      <c r="J114" s="10" t="s">
        <v>49</v>
      </c>
      <c r="K114" s="10"/>
      <c r="L114" s="10"/>
      <c r="M114" s="10"/>
      <c r="N114" s="11"/>
      <c r="O114" s="11" t="str">
        <f aca="false">IF(N114="","",N114-TIME(4,0,0))</f>
        <v/>
      </c>
      <c r="P114" s="13" t="str">
        <f aca="false">IF(N114="","",ROUND((N114-G114)*1440,1))</f>
        <v/>
      </c>
      <c r="Q114" s="10" t="str">
        <f aca="false">IF(N114="","No","Yes")</f>
        <v>No</v>
      </c>
    </row>
    <row r="115" customFormat="false" ht="15" hidden="false" customHeight="false" outlineLevel="0" collapsed="false">
      <c r="A115" s="10" t="s">
        <v>84</v>
      </c>
      <c r="B115" s="10" t="n">
        <v>35</v>
      </c>
      <c r="C115" s="10"/>
      <c r="D115" s="10" t="s">
        <v>90</v>
      </c>
      <c r="E115" s="10" t="s">
        <v>91</v>
      </c>
      <c r="F115" s="10" t="s">
        <v>96</v>
      </c>
      <c r="G115" s="11" t="n">
        <v>46278.9583333333</v>
      </c>
      <c r="H115" s="11" t="n">
        <f aca="false">G115-TIME(4,0,0)</f>
        <v>46278.7916666667</v>
      </c>
      <c r="I115" s="12" t="n">
        <f aca="false">INT(H115)</f>
        <v>46278</v>
      </c>
      <c r="J115" s="10" t="s">
        <v>49</v>
      </c>
      <c r="K115" s="10"/>
      <c r="L115" s="10"/>
      <c r="M115" s="10"/>
      <c r="N115" s="11"/>
      <c r="O115" s="11" t="str">
        <f aca="false">IF(N115="","",N115-TIME(4,0,0))</f>
        <v/>
      </c>
      <c r="P115" s="13" t="str">
        <f aca="false">IF(N115="","",ROUND((N115-G115)*1440,1))</f>
        <v/>
      </c>
      <c r="Q115" s="10" t="str">
        <f aca="false">IF(N115="","No","Yes")</f>
        <v>No</v>
      </c>
    </row>
    <row r="116" customFormat="false" ht="15" hidden="false" customHeight="false" outlineLevel="0" collapsed="false">
      <c r="A116" s="10" t="s">
        <v>84</v>
      </c>
      <c r="B116" s="10" t="n">
        <v>36</v>
      </c>
      <c r="C116" s="10" t="s">
        <v>81</v>
      </c>
      <c r="D116" s="10" t="s">
        <v>78</v>
      </c>
      <c r="E116" s="10" t="s">
        <v>78</v>
      </c>
      <c r="F116" s="10" t="s">
        <v>96</v>
      </c>
      <c r="G116" s="11" t="n">
        <v>46281.9583333333</v>
      </c>
      <c r="H116" s="11" t="n">
        <f aca="false">G116-TIME(4,0,0)</f>
        <v>46281.7916666667</v>
      </c>
      <c r="I116" s="12" t="n">
        <f aca="false">INT(H116)</f>
        <v>46281</v>
      </c>
      <c r="J116" s="10" t="s">
        <v>49</v>
      </c>
      <c r="K116" s="10"/>
      <c r="L116" s="10"/>
      <c r="M116" s="10"/>
      <c r="N116" s="11"/>
      <c r="O116" s="11" t="str">
        <f aca="false">IF(N116="","",N116-TIME(4,0,0))</f>
        <v/>
      </c>
      <c r="P116" s="13" t="str">
        <f aca="false">IF(N116="","",ROUND((N116-G116)*1440,1))</f>
        <v/>
      </c>
      <c r="Q116" s="10" t="str">
        <f aca="false">IF(N116="","No","Yes")</f>
        <v>No</v>
      </c>
    </row>
    <row r="117" customFormat="false" ht="15" hidden="false" customHeight="false" outlineLevel="0" collapsed="false">
      <c r="A117" s="10" t="s">
        <v>84</v>
      </c>
      <c r="B117" s="10" t="n">
        <v>37</v>
      </c>
      <c r="C117" s="10" t="s">
        <v>80</v>
      </c>
      <c r="D117" s="10" t="s">
        <v>78</v>
      </c>
      <c r="E117" s="10" t="s">
        <v>78</v>
      </c>
      <c r="F117" s="10" t="s">
        <v>96</v>
      </c>
      <c r="G117" s="11" t="n">
        <v>46283</v>
      </c>
      <c r="H117" s="11" t="n">
        <f aca="false">G117-TIME(4,0,0)</f>
        <v>46282.8333333333</v>
      </c>
      <c r="I117" s="12" t="n">
        <f aca="false">INT(H117)</f>
        <v>46282</v>
      </c>
      <c r="J117" s="10" t="s">
        <v>49</v>
      </c>
      <c r="K117" s="10"/>
      <c r="L117" s="10"/>
      <c r="M117" s="10"/>
      <c r="N117" s="11"/>
      <c r="O117" s="11" t="str">
        <f aca="false">IF(N117="","",N117-TIME(4,0,0))</f>
        <v/>
      </c>
      <c r="P117" s="13" t="str">
        <f aca="false">IF(N117="","",ROUND((N117-G117)*1440,1))</f>
        <v/>
      </c>
      <c r="Q117" s="10" t="str">
        <f aca="false">IF(N117="","No","Yes")</f>
        <v>No</v>
      </c>
    </row>
    <row r="118" customFormat="false" ht="15" hidden="false" customHeight="false" outlineLevel="0" collapsed="false">
      <c r="A118" s="10" t="s">
        <v>84</v>
      </c>
      <c r="B118" s="10" t="n">
        <v>38</v>
      </c>
      <c r="C118" s="10" t="s">
        <v>82</v>
      </c>
      <c r="D118" s="10" t="s">
        <v>78</v>
      </c>
      <c r="E118" s="10" t="s">
        <v>78</v>
      </c>
      <c r="F118" s="10" t="s">
        <v>96</v>
      </c>
      <c r="G118" s="11" t="n">
        <v>46283.9583333333</v>
      </c>
      <c r="H118" s="11" t="n">
        <f aca="false">G118-TIME(4,0,0)</f>
        <v>46283.7916666667</v>
      </c>
      <c r="I118" s="12" t="n">
        <f aca="false">INT(H118)</f>
        <v>46283</v>
      </c>
      <c r="J118" s="10" t="s">
        <v>49</v>
      </c>
      <c r="K118" s="10"/>
      <c r="L118" s="10"/>
      <c r="M118" s="10"/>
      <c r="N118" s="11"/>
      <c r="O118" s="11" t="str">
        <f aca="false">IF(N118="","",N118-TIME(4,0,0))</f>
        <v/>
      </c>
      <c r="P118" s="13" t="str">
        <f aca="false">IF(N118="","",ROUND((N118-G118)*1440,1))</f>
        <v/>
      </c>
      <c r="Q118" s="10" t="str">
        <f aca="false">IF(N118="","No","Yes")</f>
        <v>No</v>
      </c>
    </row>
    <row r="119" customFormat="false" ht="15" hidden="false" customHeight="false" outlineLevel="0" collapsed="false">
      <c r="A119" s="10" t="s">
        <v>84</v>
      </c>
      <c r="B119" s="10" t="n">
        <v>39</v>
      </c>
      <c r="C119" s="10" t="s">
        <v>83</v>
      </c>
      <c r="D119" s="10" t="s">
        <v>78</v>
      </c>
      <c r="E119" s="10" t="s">
        <v>78</v>
      </c>
      <c r="F119" s="10" t="s">
        <v>96</v>
      </c>
      <c r="G119" s="11" t="n">
        <v>46285.9583333333</v>
      </c>
      <c r="H119" s="11" t="n">
        <f aca="false">G119-TIME(4,0,0)</f>
        <v>46285.7916666667</v>
      </c>
      <c r="I119" s="12" t="n">
        <f aca="false">INT(H119)</f>
        <v>46285</v>
      </c>
      <c r="J119" s="10" t="s">
        <v>49</v>
      </c>
      <c r="K119" s="10"/>
      <c r="L119" s="10"/>
      <c r="M119" s="10"/>
      <c r="N119" s="11"/>
      <c r="O119" s="11" t="str">
        <f aca="false">IF(N119="","",N119-TIME(4,0,0))</f>
        <v/>
      </c>
      <c r="P119" s="13" t="str">
        <f aca="false">IF(N119="","",ROUND((N119-G119)*1440,1))</f>
        <v/>
      </c>
      <c r="Q119" s="10" t="str">
        <f aca="false">IF(N119="","No","Yes")</f>
        <v>No</v>
      </c>
    </row>
  </sheetData>
  <autoFilter ref="A1:Q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23.85" hidden="false" customHeight="false" outlineLevel="0" collapsed="false">
      <c r="A1" s="9" t="s">
        <v>97</v>
      </c>
      <c r="B1" s="9" t="s">
        <v>98</v>
      </c>
      <c r="C1" s="9" t="s">
        <v>99</v>
      </c>
      <c r="D1" s="9" t="s">
        <v>100</v>
      </c>
      <c r="E1" s="9" t="s">
        <v>101</v>
      </c>
      <c r="F1" s="9" t="s">
        <v>102</v>
      </c>
      <c r="G1" s="9" t="s">
        <v>103</v>
      </c>
      <c r="H1" s="9" t="s">
        <v>104</v>
      </c>
    </row>
    <row r="2" customFormat="false" ht="15" hidden="false" customHeight="false" outlineLevel="0" collapsed="false">
      <c r="A2" s="14" t="n">
        <v>46160</v>
      </c>
      <c r="B2" s="10" t="n">
        <f aca="false">COUNTIFS('Match Detail'!$I$2:$I$119,$A2)</f>
        <v>1</v>
      </c>
      <c r="C2" s="10" t="n">
        <f aca="false">COUNTIFS('Match Detail'!$I$2:$I$119,$A2,'Match Detail'!$Q$2:$Q$119,"Yes")</f>
        <v>0</v>
      </c>
      <c r="D2" s="10" t="n">
        <f aca="false">COUNTIFS('Match Detail'!$I$2:$I$119,$A2,'Match Detail'!$J$2:$J$119,"confirmed")</f>
        <v>0</v>
      </c>
      <c r="E2" s="10" t="n">
        <f aca="false">COUNTIFS('Match Detail'!$I$2:$I$119,$A2,'Match Detail'!$J$2:$J$119,"delay_flagged")</f>
        <v>0</v>
      </c>
      <c r="F2" s="10" t="n">
        <f aca="false">B2-C2</f>
        <v>1</v>
      </c>
      <c r="G2" s="15" t="n">
        <f aca="false">IF(B2=0,0,C2/B2)</f>
        <v>0</v>
      </c>
      <c r="H2" s="13" t="str">
        <f aca="false">IFERROR(AVERAGEIFS('Match Detail'!$P$2:$P$119,'Match Detail'!$I$2:$I$119,$A2,'Match Detail'!$J$2:$J$119,"confirmed"),"")</f>
        <v/>
      </c>
    </row>
    <row r="3" customFormat="false" ht="15" hidden="false" customHeight="false" outlineLevel="0" collapsed="false">
      <c r="A3" s="14" t="n">
        <v>46161</v>
      </c>
      <c r="B3" s="10" t="n">
        <f aca="false">COUNTIFS('Match Detail'!$I$2:$I$119,$A3)</f>
        <v>1</v>
      </c>
      <c r="C3" s="10" t="n">
        <f aca="false">COUNTIFS('Match Detail'!$I$2:$I$119,$A3,'Match Detail'!$Q$2:$Q$119,"Yes")</f>
        <v>0</v>
      </c>
      <c r="D3" s="10" t="n">
        <f aca="false">COUNTIFS('Match Detail'!$I$2:$I$119,$A3,'Match Detail'!$J$2:$J$119,"confirmed")</f>
        <v>0</v>
      </c>
      <c r="E3" s="10" t="n">
        <f aca="false">COUNTIFS('Match Detail'!$I$2:$I$119,$A3,'Match Detail'!$J$2:$J$119,"delay_flagged")</f>
        <v>0</v>
      </c>
      <c r="F3" s="10" t="n">
        <f aca="false">B3-C3</f>
        <v>1</v>
      </c>
      <c r="G3" s="15" t="n">
        <f aca="false">IF(B3=0,0,C3/B3)</f>
        <v>0</v>
      </c>
      <c r="H3" s="13" t="str">
        <f aca="false">IFERROR(AVERAGEIFS('Match Detail'!$P$2:$P$119,'Match Detail'!$I$2:$I$119,$A3,'Match Detail'!$J$2:$J$119,"confirmed"),"")</f>
        <v/>
      </c>
    </row>
    <row r="4" customFormat="false" ht="15" hidden="false" customHeight="false" outlineLevel="0" collapsed="false">
      <c r="A4" s="14" t="n">
        <v>46162</v>
      </c>
      <c r="B4" s="10" t="n">
        <f aca="false">COUNTIFS('Match Detail'!$I$2:$I$119,$A4)</f>
        <v>1</v>
      </c>
      <c r="C4" s="10" t="n">
        <f aca="false">COUNTIFS('Match Detail'!$I$2:$I$119,$A4,'Match Detail'!$Q$2:$Q$119,"Yes")</f>
        <v>0</v>
      </c>
      <c r="D4" s="10" t="n">
        <f aca="false">COUNTIFS('Match Detail'!$I$2:$I$119,$A4,'Match Detail'!$J$2:$J$119,"confirmed")</f>
        <v>0</v>
      </c>
      <c r="E4" s="10" t="n">
        <f aca="false">COUNTIFS('Match Detail'!$I$2:$I$119,$A4,'Match Detail'!$J$2:$J$119,"delay_flagged")</f>
        <v>0</v>
      </c>
      <c r="F4" s="10" t="n">
        <f aca="false">B4-C4</f>
        <v>1</v>
      </c>
      <c r="G4" s="15" t="n">
        <f aca="false">IF(B4=0,0,C4/B4)</f>
        <v>0</v>
      </c>
      <c r="H4" s="13" t="str">
        <f aca="false">IFERROR(AVERAGEIFS('Match Detail'!$P$2:$P$119,'Match Detail'!$I$2:$I$119,$A4,'Match Detail'!$J$2:$J$119,"confirmed"),"")</f>
        <v/>
      </c>
    </row>
    <row r="5" customFormat="false" ht="15" hidden="false" customHeight="false" outlineLevel="0" collapsed="false">
      <c r="A5" s="14" t="n">
        <v>46163</v>
      </c>
      <c r="B5" s="10" t="n">
        <f aca="false">COUNTIFS('Match Detail'!$I$2:$I$119,$A5)</f>
        <v>1</v>
      </c>
      <c r="C5" s="10" t="n">
        <f aca="false">COUNTIFS('Match Detail'!$I$2:$I$119,$A5,'Match Detail'!$Q$2:$Q$119,"Yes")</f>
        <v>0</v>
      </c>
      <c r="D5" s="10" t="n">
        <f aca="false">COUNTIFS('Match Detail'!$I$2:$I$119,$A5,'Match Detail'!$J$2:$J$119,"confirmed")</f>
        <v>0</v>
      </c>
      <c r="E5" s="10" t="n">
        <f aca="false">COUNTIFS('Match Detail'!$I$2:$I$119,$A5,'Match Detail'!$J$2:$J$119,"delay_flagged")</f>
        <v>0</v>
      </c>
      <c r="F5" s="10" t="n">
        <f aca="false">B5-C5</f>
        <v>1</v>
      </c>
      <c r="G5" s="15" t="n">
        <f aca="false">IF(B5=0,0,C5/B5)</f>
        <v>0</v>
      </c>
      <c r="H5" s="13" t="str">
        <f aca="false">IFERROR(AVERAGEIFS('Match Detail'!$P$2:$P$119,'Match Detail'!$I$2:$I$119,$A5,'Match Detail'!$J$2:$J$119,"confirmed"),"")</f>
        <v/>
      </c>
    </row>
    <row r="6" customFormat="false" ht="15" hidden="false" customHeight="false" outlineLevel="0" collapsed="false">
      <c r="A6" s="14" t="n">
        <v>46164</v>
      </c>
      <c r="B6" s="10" t="n">
        <f aca="false">COUNTIFS('Match Detail'!$I$2:$I$119,$A6)</f>
        <v>1</v>
      </c>
      <c r="C6" s="10" t="n">
        <f aca="false">COUNTIFS('Match Detail'!$I$2:$I$119,$A6,'Match Detail'!$Q$2:$Q$119,"Yes")</f>
        <v>0</v>
      </c>
      <c r="D6" s="10" t="n">
        <f aca="false">COUNTIFS('Match Detail'!$I$2:$I$119,$A6,'Match Detail'!$J$2:$J$119,"confirmed")</f>
        <v>0</v>
      </c>
      <c r="E6" s="10" t="n">
        <f aca="false">COUNTIFS('Match Detail'!$I$2:$I$119,$A6,'Match Detail'!$J$2:$J$119,"delay_flagged")</f>
        <v>0</v>
      </c>
      <c r="F6" s="10" t="n">
        <f aca="false">B6-C6</f>
        <v>1</v>
      </c>
      <c r="G6" s="15" t="n">
        <f aca="false">IF(B6=0,0,C6/B6)</f>
        <v>0</v>
      </c>
      <c r="H6" s="13" t="str">
        <f aca="false">IFERROR(AVERAGEIFS('Match Detail'!$P$2:$P$119,'Match Detail'!$I$2:$I$119,$A6,'Match Detail'!$J$2:$J$119,"confirmed"),"")</f>
        <v/>
      </c>
    </row>
    <row r="7" customFormat="false" ht="15" hidden="false" customHeight="false" outlineLevel="0" collapsed="false">
      <c r="A7" s="14" t="n">
        <v>46165</v>
      </c>
      <c r="B7" s="10" t="n">
        <f aca="false">COUNTIFS('Match Detail'!$I$2:$I$119,$A7)</f>
        <v>1</v>
      </c>
      <c r="C7" s="10" t="n">
        <f aca="false">COUNTIFS('Match Detail'!$I$2:$I$119,$A7,'Match Detail'!$Q$2:$Q$119,"Yes")</f>
        <v>0</v>
      </c>
      <c r="D7" s="10" t="n">
        <f aca="false">COUNTIFS('Match Detail'!$I$2:$I$119,$A7,'Match Detail'!$J$2:$J$119,"confirmed")</f>
        <v>0</v>
      </c>
      <c r="E7" s="10" t="n">
        <f aca="false">COUNTIFS('Match Detail'!$I$2:$I$119,$A7,'Match Detail'!$J$2:$J$119,"delay_flagged")</f>
        <v>0</v>
      </c>
      <c r="F7" s="10" t="n">
        <f aca="false">B7-C7</f>
        <v>1</v>
      </c>
      <c r="G7" s="15" t="n">
        <f aca="false">IF(B7=0,0,C7/B7)</f>
        <v>0</v>
      </c>
      <c r="H7" s="13" t="str">
        <f aca="false">IFERROR(AVERAGEIFS('Match Detail'!$P$2:$P$119,'Match Detail'!$I$2:$I$119,$A7,'Match Detail'!$J$2:$J$119,"confirmed"),"")</f>
        <v/>
      </c>
    </row>
    <row r="8" customFormat="false" ht="15" hidden="false" customHeight="false" outlineLevel="0" collapsed="false">
      <c r="A8" s="14" t="n">
        <v>46166</v>
      </c>
      <c r="B8" s="10" t="n">
        <f aca="false">COUNTIFS('Match Detail'!$I$2:$I$119,$A8)</f>
        <v>2</v>
      </c>
      <c r="C8" s="10" t="n">
        <f aca="false">COUNTIFS('Match Detail'!$I$2:$I$119,$A8,'Match Detail'!$Q$2:$Q$119,"Yes")</f>
        <v>0</v>
      </c>
      <c r="D8" s="10" t="n">
        <f aca="false">COUNTIFS('Match Detail'!$I$2:$I$119,$A8,'Match Detail'!$J$2:$J$119,"confirmed")</f>
        <v>0</v>
      </c>
      <c r="E8" s="10" t="n">
        <f aca="false">COUNTIFS('Match Detail'!$I$2:$I$119,$A8,'Match Detail'!$J$2:$J$119,"delay_flagged")</f>
        <v>0</v>
      </c>
      <c r="F8" s="10" t="n">
        <f aca="false">B8-C8</f>
        <v>2</v>
      </c>
      <c r="G8" s="15" t="n">
        <f aca="false">IF(B8=0,0,C8/B8)</f>
        <v>0</v>
      </c>
      <c r="H8" s="13" t="str">
        <f aca="false">IFERROR(AVERAGEIFS('Match Detail'!$P$2:$P$119,'Match Detail'!$I$2:$I$119,$A8,'Match Detail'!$J$2:$J$119,"confirmed"),"")</f>
        <v/>
      </c>
    </row>
    <row r="9" customFormat="false" ht="15" hidden="false" customHeight="false" outlineLevel="0" collapsed="false">
      <c r="A9" s="14" t="n">
        <v>46168</v>
      </c>
      <c r="B9" s="10" t="n">
        <f aca="false">COUNTIFS('Match Detail'!$I$2:$I$119,$A9)</f>
        <v>1</v>
      </c>
      <c r="C9" s="10" t="n">
        <f aca="false">COUNTIFS('Match Detail'!$I$2:$I$119,$A9,'Match Detail'!$Q$2:$Q$119,"Yes")</f>
        <v>0</v>
      </c>
      <c r="D9" s="10" t="n">
        <f aca="false">COUNTIFS('Match Detail'!$I$2:$I$119,$A9,'Match Detail'!$J$2:$J$119,"confirmed")</f>
        <v>0</v>
      </c>
      <c r="E9" s="10" t="n">
        <f aca="false">COUNTIFS('Match Detail'!$I$2:$I$119,$A9,'Match Detail'!$J$2:$J$119,"delay_flagged")</f>
        <v>0</v>
      </c>
      <c r="F9" s="10" t="n">
        <f aca="false">B9-C9</f>
        <v>1</v>
      </c>
      <c r="G9" s="15" t="n">
        <f aca="false">IF(B9=0,0,C9/B9)</f>
        <v>0</v>
      </c>
      <c r="H9" s="13" t="str">
        <f aca="false">IFERROR(AVERAGEIFS('Match Detail'!$P$2:$P$119,'Match Detail'!$I$2:$I$119,$A9,'Match Detail'!$J$2:$J$119,"confirmed"),"")</f>
        <v/>
      </c>
    </row>
    <row r="10" customFormat="false" ht="15" hidden="false" customHeight="false" outlineLevel="0" collapsed="false">
      <c r="A10" s="14" t="n">
        <v>46169</v>
      </c>
      <c r="B10" s="10" t="n">
        <f aca="false">COUNTIFS('Match Detail'!$I$2:$I$119,$A10)</f>
        <v>1</v>
      </c>
      <c r="C10" s="10" t="n">
        <f aca="false">COUNTIFS('Match Detail'!$I$2:$I$119,$A10,'Match Detail'!$Q$2:$Q$119,"Yes")</f>
        <v>0</v>
      </c>
      <c r="D10" s="10" t="n">
        <f aca="false">COUNTIFS('Match Detail'!$I$2:$I$119,$A10,'Match Detail'!$J$2:$J$119,"confirmed")</f>
        <v>0</v>
      </c>
      <c r="E10" s="10" t="n">
        <f aca="false">COUNTIFS('Match Detail'!$I$2:$I$119,$A10,'Match Detail'!$J$2:$J$119,"delay_flagged")</f>
        <v>0</v>
      </c>
      <c r="F10" s="10" t="n">
        <f aca="false">B10-C10</f>
        <v>1</v>
      </c>
      <c r="G10" s="15" t="n">
        <f aca="false">IF(B10=0,0,C10/B10)</f>
        <v>0</v>
      </c>
      <c r="H10" s="13" t="str">
        <f aca="false">IFERROR(AVERAGEIFS('Match Detail'!$P$2:$P$119,'Match Detail'!$I$2:$I$119,$A10,'Match Detail'!$J$2:$J$119,"confirmed"),"")</f>
        <v/>
      </c>
    </row>
    <row r="11" customFormat="false" ht="15" hidden="false" customHeight="false" outlineLevel="0" collapsed="false">
      <c r="A11" s="14" t="n">
        <v>46171</v>
      </c>
      <c r="B11" s="10" t="n">
        <f aca="false">COUNTIFS('Match Detail'!$I$2:$I$119,$A11)</f>
        <v>1</v>
      </c>
      <c r="C11" s="10" t="n">
        <f aca="false">COUNTIFS('Match Detail'!$I$2:$I$119,$A11,'Match Detail'!$Q$2:$Q$119,"Yes")</f>
        <v>0</v>
      </c>
      <c r="D11" s="10" t="n">
        <f aca="false">COUNTIFS('Match Detail'!$I$2:$I$119,$A11,'Match Detail'!$J$2:$J$119,"confirmed")</f>
        <v>0</v>
      </c>
      <c r="E11" s="10" t="n">
        <f aca="false">COUNTIFS('Match Detail'!$I$2:$I$119,$A11,'Match Detail'!$J$2:$J$119,"delay_flagged")</f>
        <v>0</v>
      </c>
      <c r="F11" s="10" t="n">
        <f aca="false">B11-C11</f>
        <v>1</v>
      </c>
      <c r="G11" s="15" t="n">
        <f aca="false">IF(B11=0,0,C11/B11)</f>
        <v>0</v>
      </c>
      <c r="H11" s="13" t="str">
        <f aca="false">IFERROR(AVERAGEIFS('Match Detail'!$P$2:$P$119,'Match Detail'!$I$2:$I$119,$A11,'Match Detail'!$J$2:$J$119,"confirmed"),"")</f>
        <v/>
      </c>
    </row>
    <row r="12" customFormat="false" ht="15" hidden="false" customHeight="false" outlineLevel="0" collapsed="false">
      <c r="A12" s="14" t="n">
        <v>46173</v>
      </c>
      <c r="B12" s="10" t="n">
        <f aca="false">COUNTIFS('Match Detail'!$I$2:$I$119,$A12)</f>
        <v>1</v>
      </c>
      <c r="C12" s="10" t="n">
        <f aca="false">COUNTIFS('Match Detail'!$I$2:$I$119,$A12,'Match Detail'!$Q$2:$Q$119,"Yes")</f>
        <v>0</v>
      </c>
      <c r="D12" s="10" t="n">
        <f aca="false">COUNTIFS('Match Detail'!$I$2:$I$119,$A12,'Match Detail'!$J$2:$J$119,"confirmed")</f>
        <v>0</v>
      </c>
      <c r="E12" s="10" t="n">
        <f aca="false">COUNTIFS('Match Detail'!$I$2:$I$119,$A12,'Match Detail'!$J$2:$J$119,"delay_flagged")</f>
        <v>0</v>
      </c>
      <c r="F12" s="10" t="n">
        <f aca="false">B12-C12</f>
        <v>1</v>
      </c>
      <c r="G12" s="15" t="n">
        <f aca="false">IF(B12=0,0,C12/B12)</f>
        <v>0</v>
      </c>
      <c r="H12" s="13" t="str">
        <f aca="false">IFERROR(AVERAGEIFS('Match Detail'!$P$2:$P$119,'Match Detail'!$I$2:$I$119,$A12,'Match Detail'!$J$2:$J$119,"confirmed"),"")</f>
        <v/>
      </c>
    </row>
    <row r="13" customFormat="false" ht="15" hidden="false" customHeight="false" outlineLevel="0" collapsed="false">
      <c r="A13" s="14" t="n">
        <v>46185</v>
      </c>
      <c r="B13" s="10" t="n">
        <f aca="false">COUNTIFS('Match Detail'!$I$2:$I$119,$A13)</f>
        <v>1</v>
      </c>
      <c r="C13" s="10" t="n">
        <f aca="false">COUNTIFS('Match Detail'!$I$2:$I$119,$A13,'Match Detail'!$Q$2:$Q$119,"Yes")</f>
        <v>0</v>
      </c>
      <c r="D13" s="10" t="n">
        <f aca="false">COUNTIFS('Match Detail'!$I$2:$I$119,$A13,'Match Detail'!$J$2:$J$119,"confirmed")</f>
        <v>0</v>
      </c>
      <c r="E13" s="10" t="n">
        <f aca="false">COUNTIFS('Match Detail'!$I$2:$I$119,$A13,'Match Detail'!$J$2:$J$119,"delay_flagged")</f>
        <v>0</v>
      </c>
      <c r="F13" s="10" t="n">
        <f aca="false">B13-C13</f>
        <v>1</v>
      </c>
      <c r="G13" s="15" t="n">
        <f aca="false">IF(B13=0,0,C13/B13)</f>
        <v>0</v>
      </c>
      <c r="H13" s="13" t="str">
        <f aca="false">IFERROR(AVERAGEIFS('Match Detail'!$P$2:$P$119,'Match Detail'!$I$2:$I$119,$A13,'Match Detail'!$J$2:$J$119,"confirmed"),"")</f>
        <v/>
      </c>
    </row>
    <row r="14" customFormat="false" ht="15" hidden="false" customHeight="false" outlineLevel="0" collapsed="false">
      <c r="A14" s="14" t="n">
        <v>46186</v>
      </c>
      <c r="B14" s="10" t="n">
        <f aca="false">COUNTIFS('Match Detail'!$I$2:$I$119,$A14)</f>
        <v>3</v>
      </c>
      <c r="C14" s="10" t="n">
        <f aca="false">COUNTIFS('Match Detail'!$I$2:$I$119,$A14,'Match Detail'!$Q$2:$Q$119,"Yes")</f>
        <v>0</v>
      </c>
      <c r="D14" s="10" t="n">
        <f aca="false">COUNTIFS('Match Detail'!$I$2:$I$119,$A14,'Match Detail'!$J$2:$J$119,"confirmed")</f>
        <v>0</v>
      </c>
      <c r="E14" s="10" t="n">
        <f aca="false">COUNTIFS('Match Detail'!$I$2:$I$119,$A14,'Match Detail'!$J$2:$J$119,"delay_flagged")</f>
        <v>0</v>
      </c>
      <c r="F14" s="10" t="n">
        <f aca="false">B14-C14</f>
        <v>3</v>
      </c>
      <c r="G14" s="15" t="n">
        <f aca="false">IF(B14=0,0,C14/B14)</f>
        <v>0</v>
      </c>
      <c r="H14" s="13" t="str">
        <f aca="false">IFERROR(AVERAGEIFS('Match Detail'!$P$2:$P$119,'Match Detail'!$I$2:$I$119,$A14,'Match Detail'!$J$2:$J$119,"confirmed"),"")</f>
        <v/>
      </c>
    </row>
    <row r="15" customFormat="false" ht="15" hidden="false" customHeight="false" outlineLevel="0" collapsed="false">
      <c r="A15" s="14" t="n">
        <v>46187</v>
      </c>
      <c r="B15" s="10" t="n">
        <f aca="false">COUNTIFS('Match Detail'!$I$2:$I$119,$A15)</f>
        <v>2</v>
      </c>
      <c r="C15" s="10" t="n">
        <f aca="false">COUNTIFS('Match Detail'!$I$2:$I$119,$A15,'Match Detail'!$Q$2:$Q$119,"Yes")</f>
        <v>0</v>
      </c>
      <c r="D15" s="10" t="n">
        <f aca="false">COUNTIFS('Match Detail'!$I$2:$I$119,$A15,'Match Detail'!$J$2:$J$119,"confirmed")</f>
        <v>0</v>
      </c>
      <c r="E15" s="10" t="n">
        <f aca="false">COUNTIFS('Match Detail'!$I$2:$I$119,$A15,'Match Detail'!$J$2:$J$119,"delay_flagged")</f>
        <v>0</v>
      </c>
      <c r="F15" s="10" t="n">
        <f aca="false">B15-C15</f>
        <v>2</v>
      </c>
      <c r="G15" s="15" t="n">
        <f aca="false">IF(B15=0,0,C15/B15)</f>
        <v>0</v>
      </c>
      <c r="H15" s="13" t="str">
        <f aca="false">IFERROR(AVERAGEIFS('Match Detail'!$P$2:$P$119,'Match Detail'!$I$2:$I$119,$A15,'Match Detail'!$J$2:$J$119,"confirmed"),"")</f>
        <v/>
      </c>
    </row>
    <row r="16" customFormat="false" ht="15" hidden="false" customHeight="false" outlineLevel="0" collapsed="false">
      <c r="A16" s="14" t="n">
        <v>46189</v>
      </c>
      <c r="B16" s="10" t="n">
        <f aca="false">COUNTIFS('Match Detail'!$I$2:$I$119,$A16)</f>
        <v>2</v>
      </c>
      <c r="C16" s="10" t="n">
        <f aca="false">COUNTIFS('Match Detail'!$I$2:$I$119,$A16,'Match Detail'!$Q$2:$Q$119,"Yes")</f>
        <v>0</v>
      </c>
      <c r="D16" s="10" t="n">
        <f aca="false">COUNTIFS('Match Detail'!$I$2:$I$119,$A16,'Match Detail'!$J$2:$J$119,"confirmed")</f>
        <v>0</v>
      </c>
      <c r="E16" s="10" t="n">
        <f aca="false">COUNTIFS('Match Detail'!$I$2:$I$119,$A16,'Match Detail'!$J$2:$J$119,"delay_flagged")</f>
        <v>0</v>
      </c>
      <c r="F16" s="10" t="n">
        <f aca="false">B16-C16</f>
        <v>2</v>
      </c>
      <c r="G16" s="15" t="n">
        <f aca="false">IF(B16=0,0,C16/B16)</f>
        <v>0</v>
      </c>
      <c r="H16" s="13" t="str">
        <f aca="false">IFERROR(AVERAGEIFS('Match Detail'!$P$2:$P$119,'Match Detail'!$I$2:$I$119,$A16,'Match Detail'!$J$2:$J$119,"confirmed"),"")</f>
        <v/>
      </c>
    </row>
    <row r="17" customFormat="false" ht="15" hidden="false" customHeight="false" outlineLevel="0" collapsed="false">
      <c r="A17" s="14" t="n">
        <v>46190</v>
      </c>
      <c r="B17" s="10" t="n">
        <f aca="false">COUNTIFS('Match Detail'!$I$2:$I$119,$A17)</f>
        <v>3</v>
      </c>
      <c r="C17" s="10" t="n">
        <f aca="false">COUNTIFS('Match Detail'!$I$2:$I$119,$A17,'Match Detail'!$Q$2:$Q$119,"Yes")</f>
        <v>0</v>
      </c>
      <c r="D17" s="10" t="n">
        <f aca="false">COUNTIFS('Match Detail'!$I$2:$I$119,$A17,'Match Detail'!$J$2:$J$119,"confirmed")</f>
        <v>0</v>
      </c>
      <c r="E17" s="10" t="n">
        <f aca="false">COUNTIFS('Match Detail'!$I$2:$I$119,$A17,'Match Detail'!$J$2:$J$119,"delay_flagged")</f>
        <v>0</v>
      </c>
      <c r="F17" s="10" t="n">
        <f aca="false">B17-C17</f>
        <v>3</v>
      </c>
      <c r="G17" s="15" t="n">
        <f aca="false">IF(B17=0,0,C17/B17)</f>
        <v>0</v>
      </c>
      <c r="H17" s="13" t="str">
        <f aca="false">IFERROR(AVERAGEIFS('Match Detail'!$P$2:$P$119,'Match Detail'!$I$2:$I$119,$A17,'Match Detail'!$J$2:$J$119,"confirmed"),"")</f>
        <v/>
      </c>
    </row>
    <row r="18" customFormat="false" ht="15" hidden="false" customHeight="false" outlineLevel="0" collapsed="false">
      <c r="A18" s="14" t="n">
        <v>46191</v>
      </c>
      <c r="B18" s="10" t="n">
        <f aca="false">COUNTIFS('Match Detail'!$I$2:$I$119,$A18)</f>
        <v>2</v>
      </c>
      <c r="C18" s="10" t="n">
        <f aca="false">COUNTIFS('Match Detail'!$I$2:$I$119,$A18,'Match Detail'!$Q$2:$Q$119,"Yes")</f>
        <v>0</v>
      </c>
      <c r="D18" s="10" t="n">
        <f aca="false">COUNTIFS('Match Detail'!$I$2:$I$119,$A18,'Match Detail'!$J$2:$J$119,"confirmed")</f>
        <v>0</v>
      </c>
      <c r="E18" s="10" t="n">
        <f aca="false">COUNTIFS('Match Detail'!$I$2:$I$119,$A18,'Match Detail'!$J$2:$J$119,"delay_flagged")</f>
        <v>0</v>
      </c>
      <c r="F18" s="10" t="n">
        <f aca="false">B18-C18</f>
        <v>2</v>
      </c>
      <c r="G18" s="15" t="n">
        <f aca="false">IF(B18=0,0,C18/B18)</f>
        <v>0</v>
      </c>
      <c r="H18" s="13" t="str">
        <f aca="false">IFERROR(AVERAGEIFS('Match Detail'!$P$2:$P$119,'Match Detail'!$I$2:$I$119,$A18,'Match Detail'!$J$2:$J$119,"confirmed"),"")</f>
        <v/>
      </c>
    </row>
    <row r="19" customFormat="false" ht="15" hidden="false" customHeight="false" outlineLevel="0" collapsed="false">
      <c r="A19" s="14" t="n">
        <v>46192</v>
      </c>
      <c r="B19" s="10" t="n">
        <f aca="false">COUNTIFS('Match Detail'!$I$2:$I$119,$A19)</f>
        <v>3</v>
      </c>
      <c r="C19" s="10" t="n">
        <f aca="false">COUNTIFS('Match Detail'!$I$2:$I$119,$A19,'Match Detail'!$Q$2:$Q$119,"Yes")</f>
        <v>0</v>
      </c>
      <c r="D19" s="10" t="n">
        <f aca="false">COUNTIFS('Match Detail'!$I$2:$I$119,$A19,'Match Detail'!$J$2:$J$119,"confirmed")</f>
        <v>0</v>
      </c>
      <c r="E19" s="10" t="n">
        <f aca="false">COUNTIFS('Match Detail'!$I$2:$I$119,$A19,'Match Detail'!$J$2:$J$119,"delay_flagged")</f>
        <v>0</v>
      </c>
      <c r="F19" s="10" t="n">
        <f aca="false">B19-C19</f>
        <v>3</v>
      </c>
      <c r="G19" s="15" t="n">
        <f aca="false">IF(B19=0,0,C19/B19)</f>
        <v>0</v>
      </c>
      <c r="H19" s="13" t="str">
        <f aca="false">IFERROR(AVERAGEIFS('Match Detail'!$P$2:$P$119,'Match Detail'!$I$2:$I$119,$A19,'Match Detail'!$J$2:$J$119,"confirmed"),"")</f>
        <v/>
      </c>
    </row>
    <row r="20" customFormat="false" ht="15" hidden="false" customHeight="false" outlineLevel="0" collapsed="false">
      <c r="A20" s="14" t="n">
        <v>46193</v>
      </c>
      <c r="B20" s="10" t="n">
        <f aca="false">COUNTIFS('Match Detail'!$I$2:$I$119,$A20)</f>
        <v>5</v>
      </c>
      <c r="C20" s="10" t="n">
        <f aca="false">COUNTIFS('Match Detail'!$I$2:$I$119,$A20,'Match Detail'!$Q$2:$Q$119,"Yes")</f>
        <v>0</v>
      </c>
      <c r="D20" s="10" t="n">
        <f aca="false">COUNTIFS('Match Detail'!$I$2:$I$119,$A20,'Match Detail'!$J$2:$J$119,"confirmed")</f>
        <v>0</v>
      </c>
      <c r="E20" s="10" t="n">
        <f aca="false">COUNTIFS('Match Detail'!$I$2:$I$119,$A20,'Match Detail'!$J$2:$J$119,"delay_flagged")</f>
        <v>0</v>
      </c>
      <c r="F20" s="10" t="n">
        <f aca="false">B20-C20</f>
        <v>5</v>
      </c>
      <c r="G20" s="15" t="n">
        <f aca="false">IF(B20=0,0,C20/B20)</f>
        <v>0</v>
      </c>
      <c r="H20" s="13" t="str">
        <f aca="false">IFERROR(AVERAGEIFS('Match Detail'!$P$2:$P$119,'Match Detail'!$I$2:$I$119,$A20,'Match Detail'!$J$2:$J$119,"confirmed"),"")</f>
        <v/>
      </c>
    </row>
    <row r="21" customFormat="false" ht="15" hidden="false" customHeight="false" outlineLevel="0" collapsed="false">
      <c r="A21" s="14" t="n">
        <v>46194</v>
      </c>
      <c r="B21" s="10" t="n">
        <f aca="false">COUNTIFS('Match Detail'!$I$2:$I$119,$A21)</f>
        <v>4</v>
      </c>
      <c r="C21" s="10" t="n">
        <f aca="false">COUNTIFS('Match Detail'!$I$2:$I$119,$A21,'Match Detail'!$Q$2:$Q$119,"Yes")</f>
        <v>0</v>
      </c>
      <c r="D21" s="10" t="n">
        <f aca="false">COUNTIFS('Match Detail'!$I$2:$I$119,$A21,'Match Detail'!$J$2:$J$119,"confirmed")</f>
        <v>0</v>
      </c>
      <c r="E21" s="10" t="n">
        <f aca="false">COUNTIFS('Match Detail'!$I$2:$I$119,$A21,'Match Detail'!$J$2:$J$119,"delay_flagged")</f>
        <v>0</v>
      </c>
      <c r="F21" s="10" t="n">
        <f aca="false">B21-C21</f>
        <v>4</v>
      </c>
      <c r="G21" s="15" t="n">
        <f aca="false">IF(B21=0,0,C21/B21)</f>
        <v>0</v>
      </c>
      <c r="H21" s="13" t="str">
        <f aca="false">IFERROR(AVERAGEIFS('Match Detail'!$P$2:$P$119,'Match Detail'!$I$2:$I$119,$A21,'Match Detail'!$J$2:$J$119,"confirmed"),"")</f>
        <v/>
      </c>
    </row>
    <row r="22" customFormat="false" ht="15" hidden="false" customHeight="false" outlineLevel="0" collapsed="false">
      <c r="A22" s="14" t="n">
        <v>46196</v>
      </c>
      <c r="B22" s="10" t="n">
        <f aca="false">COUNTIFS('Match Detail'!$I$2:$I$119,$A22)</f>
        <v>3</v>
      </c>
      <c r="C22" s="10" t="n">
        <f aca="false">COUNTIFS('Match Detail'!$I$2:$I$119,$A22,'Match Detail'!$Q$2:$Q$119,"Yes")</f>
        <v>0</v>
      </c>
      <c r="D22" s="10" t="n">
        <f aca="false">COUNTIFS('Match Detail'!$I$2:$I$119,$A22,'Match Detail'!$J$2:$J$119,"confirmed")</f>
        <v>0</v>
      </c>
      <c r="E22" s="10" t="n">
        <f aca="false">COUNTIFS('Match Detail'!$I$2:$I$119,$A22,'Match Detail'!$J$2:$J$119,"delay_flagged")</f>
        <v>0</v>
      </c>
      <c r="F22" s="10" t="n">
        <f aca="false">B22-C22</f>
        <v>3</v>
      </c>
      <c r="G22" s="15" t="n">
        <f aca="false">IF(B22=0,0,C22/B22)</f>
        <v>0</v>
      </c>
      <c r="H22" s="13" t="str">
        <f aca="false">IFERROR(AVERAGEIFS('Match Detail'!$P$2:$P$119,'Match Detail'!$I$2:$I$119,$A22,'Match Detail'!$J$2:$J$119,"confirmed"),"")</f>
        <v/>
      </c>
    </row>
    <row r="23" customFormat="false" ht="15" hidden="false" customHeight="false" outlineLevel="0" collapsed="false">
      <c r="A23" s="14" t="n">
        <v>46197</v>
      </c>
      <c r="B23" s="10" t="n">
        <f aca="false">COUNTIFS('Match Detail'!$I$2:$I$119,$A23)</f>
        <v>2</v>
      </c>
      <c r="C23" s="10" t="n">
        <f aca="false">COUNTIFS('Match Detail'!$I$2:$I$119,$A23,'Match Detail'!$Q$2:$Q$119,"Yes")</f>
        <v>0</v>
      </c>
      <c r="D23" s="10" t="n">
        <f aca="false">COUNTIFS('Match Detail'!$I$2:$I$119,$A23,'Match Detail'!$J$2:$J$119,"confirmed")</f>
        <v>0</v>
      </c>
      <c r="E23" s="10" t="n">
        <f aca="false">COUNTIFS('Match Detail'!$I$2:$I$119,$A23,'Match Detail'!$J$2:$J$119,"delay_flagged")</f>
        <v>0</v>
      </c>
      <c r="F23" s="10" t="n">
        <f aca="false">B23-C23</f>
        <v>2</v>
      </c>
      <c r="G23" s="15" t="n">
        <f aca="false">IF(B23=0,0,C23/B23)</f>
        <v>0</v>
      </c>
      <c r="H23" s="13" t="str">
        <f aca="false">IFERROR(AVERAGEIFS('Match Detail'!$P$2:$P$119,'Match Detail'!$I$2:$I$119,$A23,'Match Detail'!$J$2:$J$119,"confirmed"),"")</f>
        <v/>
      </c>
    </row>
    <row r="24" customFormat="false" ht="15" hidden="false" customHeight="false" outlineLevel="0" collapsed="false">
      <c r="A24" s="14" t="n">
        <v>46198</v>
      </c>
      <c r="B24" s="10" t="n">
        <f aca="false">COUNTIFS('Match Detail'!$I$2:$I$119,$A24)</f>
        <v>3</v>
      </c>
      <c r="C24" s="10" t="n">
        <f aca="false">COUNTIFS('Match Detail'!$I$2:$I$119,$A24,'Match Detail'!$Q$2:$Q$119,"Yes")</f>
        <v>0</v>
      </c>
      <c r="D24" s="10" t="n">
        <f aca="false">COUNTIFS('Match Detail'!$I$2:$I$119,$A24,'Match Detail'!$J$2:$J$119,"confirmed")</f>
        <v>0</v>
      </c>
      <c r="E24" s="10" t="n">
        <f aca="false">COUNTIFS('Match Detail'!$I$2:$I$119,$A24,'Match Detail'!$J$2:$J$119,"delay_flagged")</f>
        <v>0</v>
      </c>
      <c r="F24" s="10" t="n">
        <f aca="false">B24-C24</f>
        <v>3</v>
      </c>
      <c r="G24" s="15" t="n">
        <f aca="false">IF(B24=0,0,C24/B24)</f>
        <v>0</v>
      </c>
      <c r="H24" s="13" t="str">
        <f aca="false">IFERROR(AVERAGEIFS('Match Detail'!$P$2:$P$119,'Match Detail'!$I$2:$I$119,$A24,'Match Detail'!$J$2:$J$119,"confirmed"),"")</f>
        <v/>
      </c>
    </row>
    <row r="25" customFormat="false" ht="15" hidden="false" customHeight="false" outlineLevel="0" collapsed="false">
      <c r="A25" s="14" t="n">
        <v>46199</v>
      </c>
      <c r="B25" s="10" t="n">
        <f aca="false">COUNTIFS('Match Detail'!$I$2:$I$119,$A25)</f>
        <v>3</v>
      </c>
      <c r="C25" s="10" t="n">
        <f aca="false">COUNTIFS('Match Detail'!$I$2:$I$119,$A25,'Match Detail'!$Q$2:$Q$119,"Yes")</f>
        <v>0</v>
      </c>
      <c r="D25" s="10" t="n">
        <f aca="false">COUNTIFS('Match Detail'!$I$2:$I$119,$A25,'Match Detail'!$J$2:$J$119,"confirmed")</f>
        <v>0</v>
      </c>
      <c r="E25" s="10" t="n">
        <f aca="false">COUNTIFS('Match Detail'!$I$2:$I$119,$A25,'Match Detail'!$J$2:$J$119,"delay_flagged")</f>
        <v>0</v>
      </c>
      <c r="F25" s="10" t="n">
        <f aca="false">B25-C25</f>
        <v>3</v>
      </c>
      <c r="G25" s="15" t="n">
        <f aca="false">IF(B25=0,0,C25/B25)</f>
        <v>0</v>
      </c>
      <c r="H25" s="13" t="str">
        <f aca="false">IFERROR(AVERAGEIFS('Match Detail'!$P$2:$P$119,'Match Detail'!$I$2:$I$119,$A25,'Match Detail'!$J$2:$J$119,"confirmed"),"")</f>
        <v/>
      </c>
    </row>
    <row r="26" customFormat="false" ht="15" hidden="false" customHeight="false" outlineLevel="0" collapsed="false">
      <c r="A26" s="14" t="n">
        <v>46200</v>
      </c>
      <c r="B26" s="10" t="n">
        <f aca="false">COUNTIFS('Match Detail'!$I$2:$I$119,$A26)</f>
        <v>5</v>
      </c>
      <c r="C26" s="10" t="n">
        <f aca="false">COUNTIFS('Match Detail'!$I$2:$I$119,$A26,'Match Detail'!$Q$2:$Q$119,"Yes")</f>
        <v>0</v>
      </c>
      <c r="D26" s="10" t="n">
        <f aca="false">COUNTIFS('Match Detail'!$I$2:$I$119,$A26,'Match Detail'!$J$2:$J$119,"confirmed")</f>
        <v>0</v>
      </c>
      <c r="E26" s="10" t="n">
        <f aca="false">COUNTIFS('Match Detail'!$I$2:$I$119,$A26,'Match Detail'!$J$2:$J$119,"delay_flagged")</f>
        <v>0</v>
      </c>
      <c r="F26" s="10" t="n">
        <f aca="false">B26-C26</f>
        <v>5</v>
      </c>
      <c r="G26" s="15" t="n">
        <f aca="false">IF(B26=0,0,C26/B26)</f>
        <v>0</v>
      </c>
      <c r="H26" s="13" t="str">
        <f aca="false">IFERROR(AVERAGEIFS('Match Detail'!$P$2:$P$119,'Match Detail'!$I$2:$I$119,$A26,'Match Detail'!$J$2:$J$119,"confirmed"),"")</f>
        <v/>
      </c>
    </row>
    <row r="27" customFormat="false" ht="15" hidden="false" customHeight="false" outlineLevel="0" collapsed="false">
      <c r="A27" s="14" t="n">
        <v>46201</v>
      </c>
      <c r="B27" s="10" t="n">
        <f aca="false">COUNTIFS('Match Detail'!$I$2:$I$119,$A27)</f>
        <v>4</v>
      </c>
      <c r="C27" s="10" t="n">
        <f aca="false">COUNTIFS('Match Detail'!$I$2:$I$119,$A27,'Match Detail'!$Q$2:$Q$119,"Yes")</f>
        <v>0</v>
      </c>
      <c r="D27" s="10" t="n">
        <f aca="false">COUNTIFS('Match Detail'!$I$2:$I$119,$A27,'Match Detail'!$J$2:$J$119,"confirmed")</f>
        <v>0</v>
      </c>
      <c r="E27" s="10" t="n">
        <f aca="false">COUNTIFS('Match Detail'!$I$2:$I$119,$A27,'Match Detail'!$J$2:$J$119,"delay_flagged")</f>
        <v>0</v>
      </c>
      <c r="F27" s="10" t="n">
        <f aca="false">B27-C27</f>
        <v>4</v>
      </c>
      <c r="G27" s="15" t="n">
        <f aca="false">IF(B27=0,0,C27/B27)</f>
        <v>0</v>
      </c>
      <c r="H27" s="13" t="str">
        <f aca="false">IFERROR(AVERAGEIFS('Match Detail'!$P$2:$P$119,'Match Detail'!$I$2:$I$119,$A27,'Match Detail'!$J$2:$J$119,"confirmed"),"")</f>
        <v/>
      </c>
    </row>
    <row r="28" customFormat="false" ht="15" hidden="false" customHeight="false" outlineLevel="0" collapsed="false">
      <c r="A28" s="14" t="n">
        <v>46203</v>
      </c>
      <c r="B28" s="10" t="n">
        <f aca="false">COUNTIFS('Match Detail'!$I$2:$I$119,$A28)</f>
        <v>1</v>
      </c>
      <c r="C28" s="10" t="n">
        <f aca="false">COUNTIFS('Match Detail'!$I$2:$I$119,$A28,'Match Detail'!$Q$2:$Q$119,"Yes")</f>
        <v>0</v>
      </c>
      <c r="D28" s="10" t="n">
        <f aca="false">COUNTIFS('Match Detail'!$I$2:$I$119,$A28,'Match Detail'!$J$2:$J$119,"confirmed")</f>
        <v>0</v>
      </c>
      <c r="E28" s="10" t="n">
        <f aca="false">COUNTIFS('Match Detail'!$I$2:$I$119,$A28,'Match Detail'!$J$2:$J$119,"delay_flagged")</f>
        <v>0</v>
      </c>
      <c r="F28" s="10" t="n">
        <f aca="false">B28-C28</f>
        <v>1</v>
      </c>
      <c r="G28" s="15" t="n">
        <f aca="false">IF(B28=0,0,C28/B28)</f>
        <v>0</v>
      </c>
      <c r="H28" s="13" t="str">
        <f aca="false">IFERROR(AVERAGEIFS('Match Detail'!$P$2:$P$119,'Match Detail'!$I$2:$I$119,$A28,'Match Detail'!$J$2:$J$119,"confirmed"),"")</f>
        <v/>
      </c>
    </row>
    <row r="29" customFormat="false" ht="15" hidden="false" customHeight="false" outlineLevel="0" collapsed="false">
      <c r="A29" s="14" t="n">
        <v>46204</v>
      </c>
      <c r="B29" s="10" t="n">
        <f aca="false">COUNTIFS('Match Detail'!$I$2:$I$119,$A29)</f>
        <v>1</v>
      </c>
      <c r="C29" s="10" t="n">
        <f aca="false">COUNTIFS('Match Detail'!$I$2:$I$119,$A29,'Match Detail'!$Q$2:$Q$119,"Yes")</f>
        <v>0</v>
      </c>
      <c r="D29" s="10" t="n">
        <f aca="false">COUNTIFS('Match Detail'!$I$2:$I$119,$A29,'Match Detail'!$J$2:$J$119,"confirmed")</f>
        <v>0</v>
      </c>
      <c r="E29" s="10" t="n">
        <f aca="false">COUNTIFS('Match Detail'!$I$2:$I$119,$A29,'Match Detail'!$J$2:$J$119,"delay_flagged")</f>
        <v>0</v>
      </c>
      <c r="F29" s="10" t="n">
        <f aca="false">B29-C29</f>
        <v>1</v>
      </c>
      <c r="G29" s="15" t="n">
        <f aca="false">IF(B29=0,0,C29/B29)</f>
        <v>0</v>
      </c>
      <c r="H29" s="13" t="str">
        <f aca="false">IFERROR(AVERAGEIFS('Match Detail'!$P$2:$P$119,'Match Detail'!$I$2:$I$119,$A29,'Match Detail'!$J$2:$J$119,"confirmed"),"")</f>
        <v/>
      </c>
    </row>
    <row r="30" customFormat="false" ht="15" hidden="false" customHeight="false" outlineLevel="0" collapsed="false">
      <c r="A30" s="14" t="n">
        <v>46205</v>
      </c>
      <c r="B30" s="10" t="n">
        <f aca="false">COUNTIFS('Match Detail'!$I$2:$I$119,$A30)</f>
        <v>2</v>
      </c>
      <c r="C30" s="10" t="n">
        <f aca="false">COUNTIFS('Match Detail'!$I$2:$I$119,$A30,'Match Detail'!$Q$2:$Q$119,"Yes")</f>
        <v>0</v>
      </c>
      <c r="D30" s="10" t="n">
        <f aca="false">COUNTIFS('Match Detail'!$I$2:$I$119,$A30,'Match Detail'!$J$2:$J$119,"confirmed")</f>
        <v>0</v>
      </c>
      <c r="E30" s="10" t="n">
        <f aca="false">COUNTIFS('Match Detail'!$I$2:$I$119,$A30,'Match Detail'!$J$2:$J$119,"delay_flagged")</f>
        <v>0</v>
      </c>
      <c r="F30" s="10" t="n">
        <f aca="false">B30-C30</f>
        <v>2</v>
      </c>
      <c r="G30" s="15" t="n">
        <f aca="false">IF(B30=0,0,C30/B30)</f>
        <v>0</v>
      </c>
      <c r="H30" s="13" t="str">
        <f aca="false">IFERROR(AVERAGEIFS('Match Detail'!$P$2:$P$119,'Match Detail'!$I$2:$I$119,$A30,'Match Detail'!$J$2:$J$119,"confirmed"),"")</f>
        <v/>
      </c>
    </row>
    <row r="31" customFormat="false" ht="15" hidden="false" customHeight="false" outlineLevel="0" collapsed="false">
      <c r="A31" s="14" t="n">
        <v>46206</v>
      </c>
      <c r="B31" s="10" t="n">
        <f aca="false">COUNTIFS('Match Detail'!$I$2:$I$119,$A31)</f>
        <v>1</v>
      </c>
      <c r="C31" s="10" t="n">
        <f aca="false">COUNTIFS('Match Detail'!$I$2:$I$119,$A31,'Match Detail'!$Q$2:$Q$119,"Yes")</f>
        <v>0</v>
      </c>
      <c r="D31" s="10" t="n">
        <f aca="false">COUNTIFS('Match Detail'!$I$2:$I$119,$A31,'Match Detail'!$J$2:$J$119,"confirmed")</f>
        <v>0</v>
      </c>
      <c r="E31" s="10" t="n">
        <f aca="false">COUNTIFS('Match Detail'!$I$2:$I$119,$A31,'Match Detail'!$J$2:$J$119,"delay_flagged")</f>
        <v>0</v>
      </c>
      <c r="F31" s="10" t="n">
        <f aca="false">B31-C31</f>
        <v>1</v>
      </c>
      <c r="G31" s="15" t="n">
        <f aca="false">IF(B31=0,0,C31/B31)</f>
        <v>0</v>
      </c>
      <c r="H31" s="13" t="str">
        <f aca="false">IFERROR(AVERAGEIFS('Match Detail'!$P$2:$P$119,'Match Detail'!$I$2:$I$119,$A31,'Match Detail'!$J$2:$J$119,"confirmed"),"")</f>
        <v/>
      </c>
    </row>
    <row r="32" customFormat="false" ht="15" hidden="false" customHeight="false" outlineLevel="0" collapsed="false">
      <c r="A32" s="14" t="n">
        <v>46207</v>
      </c>
      <c r="B32" s="10" t="n">
        <f aca="false">COUNTIFS('Match Detail'!$I$2:$I$119,$A32)</f>
        <v>2</v>
      </c>
      <c r="C32" s="10" t="n">
        <f aca="false">COUNTIFS('Match Detail'!$I$2:$I$119,$A32,'Match Detail'!$Q$2:$Q$119,"Yes")</f>
        <v>0</v>
      </c>
      <c r="D32" s="10" t="n">
        <f aca="false">COUNTIFS('Match Detail'!$I$2:$I$119,$A32,'Match Detail'!$J$2:$J$119,"confirmed")</f>
        <v>0</v>
      </c>
      <c r="E32" s="10" t="n">
        <f aca="false">COUNTIFS('Match Detail'!$I$2:$I$119,$A32,'Match Detail'!$J$2:$J$119,"delay_flagged")</f>
        <v>0</v>
      </c>
      <c r="F32" s="10" t="n">
        <f aca="false">B32-C32</f>
        <v>2</v>
      </c>
      <c r="G32" s="15" t="n">
        <f aca="false">IF(B32=0,0,C32/B32)</f>
        <v>0</v>
      </c>
      <c r="H32" s="13" t="str">
        <f aca="false">IFERROR(AVERAGEIFS('Match Detail'!$P$2:$P$119,'Match Detail'!$I$2:$I$119,$A32,'Match Detail'!$J$2:$J$119,"confirmed"),"")</f>
        <v/>
      </c>
    </row>
    <row r="33" customFormat="false" ht="15" hidden="false" customHeight="false" outlineLevel="0" collapsed="false">
      <c r="A33" s="14" t="n">
        <v>46208</v>
      </c>
      <c r="B33" s="10" t="n">
        <f aca="false">COUNTIFS('Match Detail'!$I$2:$I$119,$A33)</f>
        <v>3</v>
      </c>
      <c r="C33" s="10" t="n">
        <f aca="false">COUNTIFS('Match Detail'!$I$2:$I$119,$A33,'Match Detail'!$Q$2:$Q$119,"Yes")</f>
        <v>0</v>
      </c>
      <c r="D33" s="10" t="n">
        <f aca="false">COUNTIFS('Match Detail'!$I$2:$I$119,$A33,'Match Detail'!$J$2:$J$119,"confirmed")</f>
        <v>0</v>
      </c>
      <c r="E33" s="10" t="n">
        <f aca="false">COUNTIFS('Match Detail'!$I$2:$I$119,$A33,'Match Detail'!$J$2:$J$119,"delay_flagged")</f>
        <v>0</v>
      </c>
      <c r="F33" s="10" t="n">
        <f aca="false">B33-C33</f>
        <v>3</v>
      </c>
      <c r="G33" s="15" t="n">
        <f aca="false">IF(B33=0,0,C33/B33)</f>
        <v>0</v>
      </c>
      <c r="H33" s="13" t="str">
        <f aca="false">IFERROR(AVERAGEIFS('Match Detail'!$P$2:$P$119,'Match Detail'!$I$2:$I$119,$A33,'Match Detail'!$J$2:$J$119,"confirmed"),"")</f>
        <v/>
      </c>
    </row>
    <row r="34" customFormat="false" ht="15" hidden="false" customHeight="false" outlineLevel="0" collapsed="false">
      <c r="A34" s="14" t="n">
        <v>46211</v>
      </c>
      <c r="B34" s="10" t="n">
        <f aca="false">COUNTIFS('Match Detail'!$I$2:$I$119,$A34)</f>
        <v>1</v>
      </c>
      <c r="C34" s="10" t="n">
        <f aca="false">COUNTIFS('Match Detail'!$I$2:$I$119,$A34,'Match Detail'!$Q$2:$Q$119,"Yes")</f>
        <v>0</v>
      </c>
      <c r="D34" s="10" t="n">
        <f aca="false">COUNTIFS('Match Detail'!$I$2:$I$119,$A34,'Match Detail'!$J$2:$J$119,"confirmed")</f>
        <v>0</v>
      </c>
      <c r="E34" s="10" t="n">
        <f aca="false">COUNTIFS('Match Detail'!$I$2:$I$119,$A34,'Match Detail'!$J$2:$J$119,"delay_flagged")</f>
        <v>0</v>
      </c>
      <c r="F34" s="10" t="n">
        <f aca="false">B34-C34</f>
        <v>1</v>
      </c>
      <c r="G34" s="15" t="n">
        <f aca="false">IF(B34=0,0,C34/B34)</f>
        <v>0</v>
      </c>
      <c r="H34" s="13" t="str">
        <f aca="false">IFERROR(AVERAGEIFS('Match Detail'!$P$2:$P$119,'Match Detail'!$I$2:$I$119,$A34,'Match Detail'!$J$2:$J$119,"confirmed"),"")</f>
        <v/>
      </c>
    </row>
    <row r="35" customFormat="false" ht="15" hidden="false" customHeight="false" outlineLevel="0" collapsed="false">
      <c r="A35" s="14" t="n">
        <v>46212</v>
      </c>
      <c r="B35" s="10" t="n">
        <f aca="false">COUNTIFS('Match Detail'!$I$2:$I$119,$A35)</f>
        <v>1</v>
      </c>
      <c r="C35" s="10" t="n">
        <f aca="false">COUNTIFS('Match Detail'!$I$2:$I$119,$A35,'Match Detail'!$Q$2:$Q$119,"Yes")</f>
        <v>0</v>
      </c>
      <c r="D35" s="10" t="n">
        <f aca="false">COUNTIFS('Match Detail'!$I$2:$I$119,$A35,'Match Detail'!$J$2:$J$119,"confirmed")</f>
        <v>0</v>
      </c>
      <c r="E35" s="10" t="n">
        <f aca="false">COUNTIFS('Match Detail'!$I$2:$I$119,$A35,'Match Detail'!$J$2:$J$119,"delay_flagged")</f>
        <v>0</v>
      </c>
      <c r="F35" s="10" t="n">
        <f aca="false">B35-C35</f>
        <v>1</v>
      </c>
      <c r="G35" s="15" t="n">
        <f aca="false">IF(B35=0,0,C35/B35)</f>
        <v>0</v>
      </c>
      <c r="H35" s="13" t="str">
        <f aca="false">IFERROR(AVERAGEIFS('Match Detail'!$P$2:$P$119,'Match Detail'!$I$2:$I$119,$A35,'Match Detail'!$J$2:$J$119,"confirmed"),"")</f>
        <v/>
      </c>
    </row>
    <row r="36" customFormat="false" ht="15" hidden="false" customHeight="false" outlineLevel="0" collapsed="false">
      <c r="A36" s="14" t="n">
        <v>46213</v>
      </c>
      <c r="B36" s="10" t="n">
        <f aca="false">COUNTIFS('Match Detail'!$I$2:$I$119,$A36)</f>
        <v>2</v>
      </c>
      <c r="C36" s="10" t="n">
        <f aca="false">COUNTIFS('Match Detail'!$I$2:$I$119,$A36,'Match Detail'!$Q$2:$Q$119,"Yes")</f>
        <v>0</v>
      </c>
      <c r="D36" s="10" t="n">
        <f aca="false">COUNTIFS('Match Detail'!$I$2:$I$119,$A36,'Match Detail'!$J$2:$J$119,"confirmed")</f>
        <v>0</v>
      </c>
      <c r="E36" s="10" t="n">
        <f aca="false">COUNTIFS('Match Detail'!$I$2:$I$119,$A36,'Match Detail'!$J$2:$J$119,"delay_flagged")</f>
        <v>0</v>
      </c>
      <c r="F36" s="10" t="n">
        <f aca="false">B36-C36</f>
        <v>2</v>
      </c>
      <c r="G36" s="15" t="n">
        <f aca="false">IF(B36=0,0,C36/B36)</f>
        <v>0</v>
      </c>
      <c r="H36" s="13" t="str">
        <f aca="false">IFERROR(AVERAGEIFS('Match Detail'!$P$2:$P$119,'Match Detail'!$I$2:$I$119,$A36,'Match Detail'!$J$2:$J$119,"confirmed"),"")</f>
        <v/>
      </c>
    </row>
    <row r="37" customFormat="false" ht="15" hidden="false" customHeight="false" outlineLevel="0" collapsed="false">
      <c r="A37" s="14" t="n">
        <v>46214</v>
      </c>
      <c r="B37" s="10" t="n">
        <f aca="false">COUNTIFS('Match Detail'!$I$2:$I$119,$A37)</f>
        <v>2</v>
      </c>
      <c r="C37" s="10" t="n">
        <f aca="false">COUNTIFS('Match Detail'!$I$2:$I$119,$A37,'Match Detail'!$Q$2:$Q$119,"Yes")</f>
        <v>0</v>
      </c>
      <c r="D37" s="10" t="n">
        <f aca="false">COUNTIFS('Match Detail'!$I$2:$I$119,$A37,'Match Detail'!$J$2:$J$119,"confirmed")</f>
        <v>0</v>
      </c>
      <c r="E37" s="10" t="n">
        <f aca="false">COUNTIFS('Match Detail'!$I$2:$I$119,$A37,'Match Detail'!$J$2:$J$119,"delay_flagged")</f>
        <v>0</v>
      </c>
      <c r="F37" s="10" t="n">
        <f aca="false">B37-C37</f>
        <v>2</v>
      </c>
      <c r="G37" s="15" t="n">
        <f aca="false">IF(B37=0,0,C37/B37)</f>
        <v>0</v>
      </c>
      <c r="H37" s="13" t="str">
        <f aca="false">IFERROR(AVERAGEIFS('Match Detail'!$P$2:$P$119,'Match Detail'!$I$2:$I$119,$A37,'Match Detail'!$J$2:$J$119,"confirmed"),"")</f>
        <v/>
      </c>
    </row>
    <row r="38" customFormat="false" ht="15" hidden="false" customHeight="false" outlineLevel="0" collapsed="false">
      <c r="A38" s="14" t="n">
        <v>46215</v>
      </c>
      <c r="B38" s="10" t="n">
        <f aca="false">COUNTIFS('Match Detail'!$I$2:$I$119,$A38)</f>
        <v>2</v>
      </c>
      <c r="C38" s="10" t="n">
        <f aca="false">COUNTIFS('Match Detail'!$I$2:$I$119,$A38,'Match Detail'!$Q$2:$Q$119,"Yes")</f>
        <v>0</v>
      </c>
      <c r="D38" s="10" t="n">
        <f aca="false">COUNTIFS('Match Detail'!$I$2:$I$119,$A38,'Match Detail'!$J$2:$J$119,"confirmed")</f>
        <v>0</v>
      </c>
      <c r="E38" s="10" t="n">
        <f aca="false">COUNTIFS('Match Detail'!$I$2:$I$119,$A38,'Match Detail'!$J$2:$J$119,"delay_flagged")</f>
        <v>0</v>
      </c>
      <c r="F38" s="10" t="n">
        <f aca="false">B38-C38</f>
        <v>2</v>
      </c>
      <c r="G38" s="15" t="n">
        <f aca="false">IF(B38=0,0,C38/B38)</f>
        <v>0</v>
      </c>
      <c r="H38" s="13" t="str">
        <f aca="false">IFERROR(AVERAGEIFS('Match Detail'!$P$2:$P$119,'Match Detail'!$I$2:$I$119,$A38,'Match Detail'!$J$2:$J$119,"confirmed"),"")</f>
        <v/>
      </c>
    </row>
    <row r="39" customFormat="false" ht="15" hidden="false" customHeight="false" outlineLevel="0" collapsed="false">
      <c r="A39" s="14" t="n">
        <v>46218</v>
      </c>
      <c r="B39" s="10" t="n">
        <f aca="false">COUNTIFS('Match Detail'!$I$2:$I$119,$A39)</f>
        <v>2</v>
      </c>
      <c r="C39" s="10" t="n">
        <f aca="false">COUNTIFS('Match Detail'!$I$2:$I$119,$A39,'Match Detail'!$Q$2:$Q$119,"Yes")</f>
        <v>0</v>
      </c>
      <c r="D39" s="10" t="n">
        <f aca="false">COUNTIFS('Match Detail'!$I$2:$I$119,$A39,'Match Detail'!$J$2:$J$119,"confirmed")</f>
        <v>0</v>
      </c>
      <c r="E39" s="10" t="n">
        <f aca="false">COUNTIFS('Match Detail'!$I$2:$I$119,$A39,'Match Detail'!$J$2:$J$119,"delay_flagged")</f>
        <v>0</v>
      </c>
      <c r="F39" s="10" t="n">
        <f aca="false">B39-C39</f>
        <v>2</v>
      </c>
      <c r="G39" s="15" t="n">
        <f aca="false">IF(B39=0,0,C39/B39)</f>
        <v>0</v>
      </c>
      <c r="H39" s="13" t="str">
        <f aca="false">IFERROR(AVERAGEIFS('Match Detail'!$P$2:$P$119,'Match Detail'!$I$2:$I$119,$A39,'Match Detail'!$J$2:$J$119,"confirmed"),"")</f>
        <v/>
      </c>
    </row>
    <row r="40" customFormat="false" ht="15" hidden="false" customHeight="false" outlineLevel="0" collapsed="false">
      <c r="A40" s="14" t="n">
        <v>46219</v>
      </c>
      <c r="B40" s="10" t="n">
        <f aca="false">COUNTIFS('Match Detail'!$I$2:$I$119,$A40)</f>
        <v>1</v>
      </c>
      <c r="C40" s="10" t="n">
        <f aca="false">COUNTIFS('Match Detail'!$I$2:$I$119,$A40,'Match Detail'!$Q$2:$Q$119,"Yes")</f>
        <v>0</v>
      </c>
      <c r="D40" s="10" t="n">
        <f aca="false">COUNTIFS('Match Detail'!$I$2:$I$119,$A40,'Match Detail'!$J$2:$J$119,"confirmed")</f>
        <v>0</v>
      </c>
      <c r="E40" s="10" t="n">
        <f aca="false">COUNTIFS('Match Detail'!$I$2:$I$119,$A40,'Match Detail'!$J$2:$J$119,"delay_flagged")</f>
        <v>0</v>
      </c>
      <c r="F40" s="10" t="n">
        <f aca="false">B40-C40</f>
        <v>1</v>
      </c>
      <c r="G40" s="15" t="n">
        <f aca="false">IF(B40=0,0,C40/B40)</f>
        <v>0</v>
      </c>
      <c r="H40" s="13" t="str">
        <f aca="false">IFERROR(AVERAGEIFS('Match Detail'!$P$2:$P$119,'Match Detail'!$I$2:$I$119,$A40,'Match Detail'!$J$2:$J$119,"confirmed"),"")</f>
        <v/>
      </c>
    </row>
    <row r="41" customFormat="false" ht="15" hidden="false" customHeight="false" outlineLevel="0" collapsed="false">
      <c r="A41" s="14" t="n">
        <v>46221</v>
      </c>
      <c r="B41" s="10" t="n">
        <f aca="false">COUNTIFS('Match Detail'!$I$2:$I$119,$A41)</f>
        <v>1</v>
      </c>
      <c r="C41" s="10" t="n">
        <f aca="false">COUNTIFS('Match Detail'!$I$2:$I$119,$A41,'Match Detail'!$Q$2:$Q$119,"Yes")</f>
        <v>0</v>
      </c>
      <c r="D41" s="10" t="n">
        <f aca="false">COUNTIFS('Match Detail'!$I$2:$I$119,$A41,'Match Detail'!$J$2:$J$119,"confirmed")</f>
        <v>0</v>
      </c>
      <c r="E41" s="10" t="n">
        <f aca="false">COUNTIFS('Match Detail'!$I$2:$I$119,$A41,'Match Detail'!$J$2:$J$119,"delay_flagged")</f>
        <v>0</v>
      </c>
      <c r="F41" s="10" t="n">
        <f aca="false">B41-C41</f>
        <v>1</v>
      </c>
      <c r="G41" s="15" t="n">
        <f aca="false">IF(B41=0,0,C41/B41)</f>
        <v>0</v>
      </c>
      <c r="H41" s="13" t="str">
        <f aca="false">IFERROR(AVERAGEIFS('Match Detail'!$P$2:$P$119,'Match Detail'!$I$2:$I$119,$A41,'Match Detail'!$J$2:$J$119,"confirmed"),"")</f>
        <v/>
      </c>
    </row>
    <row r="42" customFormat="false" ht="15" hidden="false" customHeight="false" outlineLevel="0" collapsed="false">
      <c r="A42" s="14" t="n">
        <v>46241</v>
      </c>
      <c r="B42" s="10" t="n">
        <f aca="false">COUNTIFS('Match Detail'!$I$2:$I$119,$A42)</f>
        <v>1</v>
      </c>
      <c r="C42" s="10" t="n">
        <f aca="false">COUNTIFS('Match Detail'!$I$2:$I$119,$A42,'Match Detail'!$Q$2:$Q$119,"Yes")</f>
        <v>0</v>
      </c>
      <c r="D42" s="10" t="n">
        <f aca="false">COUNTIFS('Match Detail'!$I$2:$I$119,$A42,'Match Detail'!$J$2:$J$119,"confirmed")</f>
        <v>0</v>
      </c>
      <c r="E42" s="10" t="n">
        <f aca="false">COUNTIFS('Match Detail'!$I$2:$I$119,$A42,'Match Detail'!$J$2:$J$119,"delay_flagged")</f>
        <v>0</v>
      </c>
      <c r="F42" s="10" t="n">
        <f aca="false">B42-C42</f>
        <v>1</v>
      </c>
      <c r="G42" s="15" t="n">
        <f aca="false">IF(B42=0,0,C42/B42)</f>
        <v>0</v>
      </c>
      <c r="H42" s="13" t="str">
        <f aca="false">IFERROR(AVERAGEIFS('Match Detail'!$P$2:$P$119,'Match Detail'!$I$2:$I$119,$A42,'Match Detail'!$J$2:$J$119,"confirmed"),"")</f>
        <v/>
      </c>
    </row>
    <row r="43" customFormat="false" ht="15" hidden="false" customHeight="false" outlineLevel="0" collapsed="false">
      <c r="A43" s="14" t="n">
        <v>46242</v>
      </c>
      <c r="B43" s="10" t="n">
        <f aca="false">COUNTIFS('Match Detail'!$I$2:$I$119,$A43)</f>
        <v>1</v>
      </c>
      <c r="C43" s="10" t="n">
        <f aca="false">COUNTIFS('Match Detail'!$I$2:$I$119,$A43,'Match Detail'!$Q$2:$Q$119,"Yes")</f>
        <v>0</v>
      </c>
      <c r="D43" s="10" t="n">
        <f aca="false">COUNTIFS('Match Detail'!$I$2:$I$119,$A43,'Match Detail'!$J$2:$J$119,"confirmed")</f>
        <v>0</v>
      </c>
      <c r="E43" s="10" t="n">
        <f aca="false">COUNTIFS('Match Detail'!$I$2:$I$119,$A43,'Match Detail'!$J$2:$J$119,"delay_flagged")</f>
        <v>0</v>
      </c>
      <c r="F43" s="10" t="n">
        <f aca="false">B43-C43</f>
        <v>1</v>
      </c>
      <c r="G43" s="15" t="n">
        <f aca="false">IF(B43=0,0,C43/B43)</f>
        <v>0</v>
      </c>
      <c r="H43" s="13" t="str">
        <f aca="false">IFERROR(AVERAGEIFS('Match Detail'!$P$2:$P$119,'Match Detail'!$I$2:$I$119,$A43,'Match Detail'!$J$2:$J$119,"confirmed"),"")</f>
        <v/>
      </c>
    </row>
    <row r="44" customFormat="false" ht="15" hidden="false" customHeight="false" outlineLevel="0" collapsed="false">
      <c r="A44" s="14" t="n">
        <v>46243</v>
      </c>
      <c r="B44" s="10" t="n">
        <f aca="false">COUNTIFS('Match Detail'!$I$2:$I$119,$A44)</f>
        <v>1</v>
      </c>
      <c r="C44" s="10" t="n">
        <f aca="false">COUNTIFS('Match Detail'!$I$2:$I$119,$A44,'Match Detail'!$Q$2:$Q$119,"Yes")</f>
        <v>0</v>
      </c>
      <c r="D44" s="10" t="n">
        <f aca="false">COUNTIFS('Match Detail'!$I$2:$I$119,$A44,'Match Detail'!$J$2:$J$119,"confirmed")</f>
        <v>0</v>
      </c>
      <c r="E44" s="10" t="n">
        <f aca="false">COUNTIFS('Match Detail'!$I$2:$I$119,$A44,'Match Detail'!$J$2:$J$119,"delay_flagged")</f>
        <v>0</v>
      </c>
      <c r="F44" s="10" t="n">
        <f aca="false">B44-C44</f>
        <v>1</v>
      </c>
      <c r="G44" s="15" t="n">
        <f aca="false">IF(B44=0,0,C44/B44)</f>
        <v>0</v>
      </c>
      <c r="H44" s="13" t="str">
        <f aca="false">IFERROR(AVERAGEIFS('Match Detail'!$P$2:$P$119,'Match Detail'!$I$2:$I$119,$A44,'Match Detail'!$J$2:$J$119,"confirmed"),"")</f>
        <v/>
      </c>
    </row>
    <row r="45" customFormat="false" ht="15" hidden="false" customHeight="false" outlineLevel="0" collapsed="false">
      <c r="A45" s="14" t="n">
        <v>46245</v>
      </c>
      <c r="B45" s="10" t="n">
        <f aca="false">COUNTIFS('Match Detail'!$I$2:$I$119,$A45)</f>
        <v>1</v>
      </c>
      <c r="C45" s="10" t="n">
        <f aca="false">COUNTIFS('Match Detail'!$I$2:$I$119,$A45,'Match Detail'!$Q$2:$Q$119,"Yes")</f>
        <v>0</v>
      </c>
      <c r="D45" s="10" t="n">
        <f aca="false">COUNTIFS('Match Detail'!$I$2:$I$119,$A45,'Match Detail'!$J$2:$J$119,"confirmed")</f>
        <v>0</v>
      </c>
      <c r="E45" s="10" t="n">
        <f aca="false">COUNTIFS('Match Detail'!$I$2:$I$119,$A45,'Match Detail'!$J$2:$J$119,"delay_flagged")</f>
        <v>0</v>
      </c>
      <c r="F45" s="10" t="n">
        <f aca="false">B45-C45</f>
        <v>1</v>
      </c>
      <c r="G45" s="15" t="n">
        <f aca="false">IF(B45=0,0,C45/B45)</f>
        <v>0</v>
      </c>
      <c r="H45" s="13" t="str">
        <f aca="false">IFERROR(AVERAGEIFS('Match Detail'!$P$2:$P$119,'Match Detail'!$I$2:$I$119,$A45,'Match Detail'!$J$2:$J$119,"confirmed"),"")</f>
        <v/>
      </c>
    </row>
    <row r="46" customFormat="false" ht="15" hidden="false" customHeight="false" outlineLevel="0" collapsed="false">
      <c r="A46" s="14" t="n">
        <v>46246</v>
      </c>
      <c r="B46" s="10" t="n">
        <f aca="false">COUNTIFS('Match Detail'!$I$2:$I$119,$A46)</f>
        <v>1</v>
      </c>
      <c r="C46" s="10" t="n">
        <f aca="false">COUNTIFS('Match Detail'!$I$2:$I$119,$A46,'Match Detail'!$Q$2:$Q$119,"Yes")</f>
        <v>0</v>
      </c>
      <c r="D46" s="10" t="n">
        <f aca="false">COUNTIFS('Match Detail'!$I$2:$I$119,$A46,'Match Detail'!$J$2:$J$119,"confirmed")</f>
        <v>0</v>
      </c>
      <c r="E46" s="10" t="n">
        <f aca="false">COUNTIFS('Match Detail'!$I$2:$I$119,$A46,'Match Detail'!$J$2:$J$119,"delay_flagged")</f>
        <v>0</v>
      </c>
      <c r="F46" s="10" t="n">
        <f aca="false">B46-C46</f>
        <v>1</v>
      </c>
      <c r="G46" s="15" t="n">
        <f aca="false">IF(B46=0,0,C46/B46)</f>
        <v>0</v>
      </c>
      <c r="H46" s="13" t="str">
        <f aca="false">IFERROR(AVERAGEIFS('Match Detail'!$P$2:$P$119,'Match Detail'!$I$2:$I$119,$A46,'Match Detail'!$J$2:$J$119,"confirmed"),"")</f>
        <v/>
      </c>
    </row>
    <row r="47" customFormat="false" ht="15" hidden="false" customHeight="false" outlineLevel="0" collapsed="false">
      <c r="A47" s="14" t="n">
        <v>46247</v>
      </c>
      <c r="B47" s="10" t="n">
        <f aca="false">COUNTIFS('Match Detail'!$I$2:$I$119,$A47)</f>
        <v>1</v>
      </c>
      <c r="C47" s="10" t="n">
        <f aca="false">COUNTIFS('Match Detail'!$I$2:$I$119,$A47,'Match Detail'!$Q$2:$Q$119,"Yes")</f>
        <v>0</v>
      </c>
      <c r="D47" s="10" t="n">
        <f aca="false">COUNTIFS('Match Detail'!$I$2:$I$119,$A47,'Match Detail'!$J$2:$J$119,"confirmed")</f>
        <v>0</v>
      </c>
      <c r="E47" s="10" t="n">
        <f aca="false">COUNTIFS('Match Detail'!$I$2:$I$119,$A47,'Match Detail'!$J$2:$J$119,"delay_flagged")</f>
        <v>0</v>
      </c>
      <c r="F47" s="10" t="n">
        <f aca="false">B47-C47</f>
        <v>1</v>
      </c>
      <c r="G47" s="15" t="n">
        <f aca="false">IF(B47=0,0,C47/B47)</f>
        <v>0</v>
      </c>
      <c r="H47" s="13" t="str">
        <f aca="false">IFERROR(AVERAGEIFS('Match Detail'!$P$2:$P$119,'Match Detail'!$I$2:$I$119,$A47,'Match Detail'!$J$2:$J$119,"confirmed"),"")</f>
        <v/>
      </c>
    </row>
    <row r="48" customFormat="false" ht="15" hidden="false" customHeight="false" outlineLevel="0" collapsed="false">
      <c r="A48" s="14" t="n">
        <v>46248</v>
      </c>
      <c r="B48" s="10" t="n">
        <f aca="false">COUNTIFS('Match Detail'!$I$2:$I$119,$A48)</f>
        <v>1</v>
      </c>
      <c r="C48" s="10" t="n">
        <f aca="false">COUNTIFS('Match Detail'!$I$2:$I$119,$A48,'Match Detail'!$Q$2:$Q$119,"Yes")</f>
        <v>0</v>
      </c>
      <c r="D48" s="10" t="n">
        <f aca="false">COUNTIFS('Match Detail'!$I$2:$I$119,$A48,'Match Detail'!$J$2:$J$119,"confirmed")</f>
        <v>0</v>
      </c>
      <c r="E48" s="10" t="n">
        <f aca="false">COUNTIFS('Match Detail'!$I$2:$I$119,$A48,'Match Detail'!$J$2:$J$119,"delay_flagged")</f>
        <v>0</v>
      </c>
      <c r="F48" s="10" t="n">
        <f aca="false">B48-C48</f>
        <v>1</v>
      </c>
      <c r="G48" s="15" t="n">
        <f aca="false">IF(B48=0,0,C48/B48)</f>
        <v>0</v>
      </c>
      <c r="H48" s="13" t="str">
        <f aca="false">IFERROR(AVERAGEIFS('Match Detail'!$P$2:$P$119,'Match Detail'!$I$2:$I$119,$A48,'Match Detail'!$J$2:$J$119,"confirmed"),"")</f>
        <v/>
      </c>
    </row>
    <row r="49" customFormat="false" ht="15" hidden="false" customHeight="false" outlineLevel="0" collapsed="false">
      <c r="A49" s="14" t="n">
        <v>46249</v>
      </c>
      <c r="B49" s="10" t="n">
        <f aca="false">COUNTIFS('Match Detail'!$I$2:$I$119,$A49)</f>
        <v>1</v>
      </c>
      <c r="C49" s="10" t="n">
        <f aca="false">COUNTIFS('Match Detail'!$I$2:$I$119,$A49,'Match Detail'!$Q$2:$Q$119,"Yes")</f>
        <v>0</v>
      </c>
      <c r="D49" s="10" t="n">
        <f aca="false">COUNTIFS('Match Detail'!$I$2:$I$119,$A49,'Match Detail'!$J$2:$J$119,"confirmed")</f>
        <v>0</v>
      </c>
      <c r="E49" s="10" t="n">
        <f aca="false">COUNTIFS('Match Detail'!$I$2:$I$119,$A49,'Match Detail'!$J$2:$J$119,"delay_flagged")</f>
        <v>0</v>
      </c>
      <c r="F49" s="10" t="n">
        <f aca="false">B49-C49</f>
        <v>1</v>
      </c>
      <c r="G49" s="15" t="n">
        <f aca="false">IF(B49=0,0,C49/B49)</f>
        <v>0</v>
      </c>
      <c r="H49" s="13" t="str">
        <f aca="false">IFERROR(AVERAGEIFS('Match Detail'!$P$2:$P$119,'Match Detail'!$I$2:$I$119,$A49,'Match Detail'!$J$2:$J$119,"confirmed"),"")</f>
        <v/>
      </c>
    </row>
    <row r="50" customFormat="false" ht="15" hidden="false" customHeight="false" outlineLevel="0" collapsed="false">
      <c r="A50" s="14" t="n">
        <v>46250</v>
      </c>
      <c r="B50" s="10" t="n">
        <f aca="false">COUNTIFS('Match Detail'!$I$2:$I$119,$A50)</f>
        <v>1</v>
      </c>
      <c r="C50" s="10" t="n">
        <f aca="false">COUNTIFS('Match Detail'!$I$2:$I$119,$A50,'Match Detail'!$Q$2:$Q$119,"Yes")</f>
        <v>0</v>
      </c>
      <c r="D50" s="10" t="n">
        <f aca="false">COUNTIFS('Match Detail'!$I$2:$I$119,$A50,'Match Detail'!$J$2:$J$119,"confirmed")</f>
        <v>0</v>
      </c>
      <c r="E50" s="10" t="n">
        <f aca="false">COUNTIFS('Match Detail'!$I$2:$I$119,$A50,'Match Detail'!$J$2:$J$119,"delay_flagged")</f>
        <v>0</v>
      </c>
      <c r="F50" s="10" t="n">
        <f aca="false">B50-C50</f>
        <v>1</v>
      </c>
      <c r="G50" s="15" t="n">
        <f aca="false">IF(B50=0,0,C50/B50)</f>
        <v>0</v>
      </c>
      <c r="H50" s="13" t="str">
        <f aca="false">IFERROR(AVERAGEIFS('Match Detail'!$P$2:$P$119,'Match Detail'!$I$2:$I$119,$A50,'Match Detail'!$J$2:$J$119,"confirmed"),"")</f>
        <v/>
      </c>
    </row>
    <row r="51" customFormat="false" ht="15" hidden="false" customHeight="false" outlineLevel="0" collapsed="false">
      <c r="A51" s="14" t="n">
        <v>46252</v>
      </c>
      <c r="B51" s="10" t="n">
        <f aca="false">COUNTIFS('Match Detail'!$I$2:$I$119,$A51)</f>
        <v>1</v>
      </c>
      <c r="C51" s="10" t="n">
        <f aca="false">COUNTIFS('Match Detail'!$I$2:$I$119,$A51,'Match Detail'!$Q$2:$Q$119,"Yes")</f>
        <v>1</v>
      </c>
      <c r="D51" s="10" t="n">
        <f aca="false">COUNTIFS('Match Detail'!$I$2:$I$119,$A51,'Match Detail'!$J$2:$J$119,"confirmed")</f>
        <v>0</v>
      </c>
      <c r="E51" s="10" t="n">
        <f aca="false">COUNTIFS('Match Detail'!$I$2:$I$119,$A51,'Match Detail'!$J$2:$J$119,"delay_flagged")</f>
        <v>1</v>
      </c>
      <c r="F51" s="10" t="n">
        <f aca="false">B51-C51</f>
        <v>0</v>
      </c>
      <c r="G51" s="15" t="n">
        <f aca="false">IF(B51=0,0,C51/B51)</f>
        <v>1</v>
      </c>
      <c r="H51" s="13" t="str">
        <f aca="false">IFERROR(AVERAGEIFS('Match Detail'!$P$2:$P$119,'Match Detail'!$I$2:$I$119,$A51,'Match Detail'!$J$2:$J$119,"confirmed"),"")</f>
        <v/>
      </c>
    </row>
    <row r="52" customFormat="false" ht="15" hidden="false" customHeight="false" outlineLevel="0" collapsed="false">
      <c r="A52" s="14" t="n">
        <v>46253</v>
      </c>
      <c r="B52" s="10" t="n">
        <f aca="false">COUNTIFS('Match Detail'!$I$2:$I$119,$A52)</f>
        <v>1</v>
      </c>
      <c r="C52" s="10" t="n">
        <f aca="false">COUNTIFS('Match Detail'!$I$2:$I$119,$A52,'Match Detail'!$Q$2:$Q$119,"Yes")</f>
        <v>1</v>
      </c>
      <c r="D52" s="10" t="n">
        <f aca="false">COUNTIFS('Match Detail'!$I$2:$I$119,$A52,'Match Detail'!$J$2:$J$119,"confirmed")</f>
        <v>1</v>
      </c>
      <c r="E52" s="10" t="n">
        <f aca="false">COUNTIFS('Match Detail'!$I$2:$I$119,$A52,'Match Detail'!$J$2:$J$119,"delay_flagged")</f>
        <v>0</v>
      </c>
      <c r="F52" s="10" t="n">
        <f aca="false">B52-C52</f>
        <v>0</v>
      </c>
      <c r="G52" s="15" t="n">
        <f aca="false">IF(B52=0,0,C52/B52)</f>
        <v>1</v>
      </c>
      <c r="H52" s="13" t="n">
        <f aca="false">IFERROR(AVERAGEIFS('Match Detail'!$P$2:$P$119,'Match Detail'!$I$2:$I$119,$A52,'Match Detail'!$J$2:$J$119,"confirmed"),"")</f>
        <v>-14</v>
      </c>
    </row>
    <row r="53" customFormat="false" ht="15" hidden="false" customHeight="false" outlineLevel="0" collapsed="false">
      <c r="A53" s="14" t="n">
        <v>46254</v>
      </c>
      <c r="B53" s="10" t="n">
        <f aca="false">COUNTIFS('Match Detail'!$I$2:$I$119,$A53)</f>
        <v>1</v>
      </c>
      <c r="C53" s="10" t="n">
        <f aca="false">COUNTIFS('Match Detail'!$I$2:$I$119,$A53,'Match Detail'!$Q$2:$Q$119,"Yes")</f>
        <v>1</v>
      </c>
      <c r="D53" s="10" t="n">
        <f aca="false">COUNTIFS('Match Detail'!$I$2:$I$119,$A53,'Match Detail'!$J$2:$J$119,"confirmed")</f>
        <v>1</v>
      </c>
      <c r="E53" s="10" t="n">
        <f aca="false">COUNTIFS('Match Detail'!$I$2:$I$119,$A53,'Match Detail'!$J$2:$J$119,"delay_flagged")</f>
        <v>0</v>
      </c>
      <c r="F53" s="10" t="n">
        <f aca="false">B53-C53</f>
        <v>0</v>
      </c>
      <c r="G53" s="15" t="n">
        <f aca="false">IF(B53=0,0,C53/B53)</f>
        <v>1</v>
      </c>
      <c r="H53" s="13" t="n">
        <f aca="false">IFERROR(AVERAGEIFS('Match Detail'!$P$2:$P$119,'Match Detail'!$I$2:$I$119,$A53,'Match Detail'!$J$2:$J$119,"confirmed"),"")</f>
        <v>-7</v>
      </c>
    </row>
    <row r="54" customFormat="false" ht="15" hidden="false" customHeight="false" outlineLevel="0" collapsed="false">
      <c r="A54" s="14" t="n">
        <v>46255</v>
      </c>
      <c r="B54" s="10" t="n">
        <f aca="false">COUNTIFS('Match Detail'!$I$2:$I$119,$A54)</f>
        <v>1</v>
      </c>
      <c r="C54" s="10" t="n">
        <f aca="false">COUNTIFS('Match Detail'!$I$2:$I$119,$A54,'Match Detail'!$Q$2:$Q$119,"Yes")</f>
        <v>1</v>
      </c>
      <c r="D54" s="10" t="n">
        <f aca="false">COUNTIFS('Match Detail'!$I$2:$I$119,$A54,'Match Detail'!$J$2:$J$119,"confirmed")</f>
        <v>1</v>
      </c>
      <c r="E54" s="10" t="n">
        <f aca="false">COUNTIFS('Match Detail'!$I$2:$I$119,$A54,'Match Detail'!$J$2:$J$119,"delay_flagged")</f>
        <v>0</v>
      </c>
      <c r="F54" s="10" t="n">
        <f aca="false">B54-C54</f>
        <v>0</v>
      </c>
      <c r="G54" s="15" t="n">
        <f aca="false">IF(B54=0,0,C54/B54)</f>
        <v>1</v>
      </c>
      <c r="H54" s="13" t="n">
        <f aca="false">IFERROR(AVERAGEIFS('Match Detail'!$P$2:$P$119,'Match Detail'!$I$2:$I$119,$A54,'Match Detail'!$J$2:$J$119,"confirmed"),"")</f>
        <v>-5.9</v>
      </c>
    </row>
    <row r="55" customFormat="false" ht="15" hidden="false" customHeight="false" outlineLevel="0" collapsed="false">
      <c r="A55" s="14" t="n">
        <v>46256</v>
      </c>
      <c r="B55" s="10" t="n">
        <f aca="false">COUNTIFS('Match Detail'!$I$2:$I$119,$A55)</f>
        <v>1</v>
      </c>
      <c r="C55" s="10" t="n">
        <f aca="false">COUNTIFS('Match Detail'!$I$2:$I$119,$A55,'Match Detail'!$Q$2:$Q$119,"Yes")</f>
        <v>1</v>
      </c>
      <c r="D55" s="10" t="n">
        <f aca="false">COUNTIFS('Match Detail'!$I$2:$I$119,$A55,'Match Detail'!$J$2:$J$119,"confirmed")</f>
        <v>1</v>
      </c>
      <c r="E55" s="10" t="n">
        <f aca="false">COUNTIFS('Match Detail'!$I$2:$I$119,$A55,'Match Detail'!$J$2:$J$119,"delay_flagged")</f>
        <v>0</v>
      </c>
      <c r="F55" s="10" t="n">
        <f aca="false">B55-C55</f>
        <v>0</v>
      </c>
      <c r="G55" s="15" t="n">
        <f aca="false">IF(B55=0,0,C55/B55)</f>
        <v>1</v>
      </c>
      <c r="H55" s="13" t="n">
        <f aca="false">IFERROR(AVERAGEIFS('Match Detail'!$P$2:$P$119,'Match Detail'!$I$2:$I$119,$A55,'Match Detail'!$J$2:$J$119,"confirmed"),"")</f>
        <v>-10</v>
      </c>
    </row>
    <row r="56" customFormat="false" ht="15" hidden="false" customHeight="false" outlineLevel="0" collapsed="false">
      <c r="A56" s="14" t="n">
        <v>46257</v>
      </c>
      <c r="B56" s="10" t="n">
        <f aca="false">COUNTIFS('Match Detail'!$I$2:$I$119,$A56)</f>
        <v>1</v>
      </c>
      <c r="C56" s="10" t="n">
        <f aca="false">COUNTIFS('Match Detail'!$I$2:$I$119,$A56,'Match Detail'!$Q$2:$Q$119,"Yes")</f>
        <v>0</v>
      </c>
      <c r="D56" s="10" t="n">
        <f aca="false">COUNTIFS('Match Detail'!$I$2:$I$119,$A56,'Match Detail'!$J$2:$J$119,"confirmed")</f>
        <v>0</v>
      </c>
      <c r="E56" s="10" t="n">
        <f aca="false">COUNTIFS('Match Detail'!$I$2:$I$119,$A56,'Match Detail'!$J$2:$J$119,"delay_flagged")</f>
        <v>0</v>
      </c>
      <c r="F56" s="10" t="n">
        <f aca="false">B56-C56</f>
        <v>1</v>
      </c>
      <c r="G56" s="15" t="n">
        <f aca="false">IF(B56=0,0,C56/B56)</f>
        <v>0</v>
      </c>
      <c r="H56" s="13" t="str">
        <f aca="false">IFERROR(AVERAGEIFS('Match Detail'!$P$2:$P$119,'Match Detail'!$I$2:$I$119,$A56,'Match Detail'!$J$2:$J$119,"confirmed"),"")</f>
        <v/>
      </c>
    </row>
    <row r="57" customFormat="false" ht="15" hidden="false" customHeight="false" outlineLevel="0" collapsed="false">
      <c r="A57" s="14" t="n">
        <v>46259</v>
      </c>
      <c r="B57" s="10" t="n">
        <f aca="false">COUNTIFS('Match Detail'!$I$2:$I$119,$A57)</f>
        <v>1</v>
      </c>
      <c r="C57" s="10" t="n">
        <f aca="false">COUNTIFS('Match Detail'!$I$2:$I$119,$A57,'Match Detail'!$Q$2:$Q$119,"Yes")</f>
        <v>0</v>
      </c>
      <c r="D57" s="10" t="n">
        <f aca="false">COUNTIFS('Match Detail'!$I$2:$I$119,$A57,'Match Detail'!$J$2:$J$119,"confirmed")</f>
        <v>0</v>
      </c>
      <c r="E57" s="10" t="n">
        <f aca="false">COUNTIFS('Match Detail'!$I$2:$I$119,$A57,'Match Detail'!$J$2:$J$119,"delay_flagged")</f>
        <v>0</v>
      </c>
      <c r="F57" s="10" t="n">
        <f aca="false">B57-C57</f>
        <v>1</v>
      </c>
      <c r="G57" s="15" t="n">
        <f aca="false">IF(B57=0,0,C57/B57)</f>
        <v>0</v>
      </c>
      <c r="H57" s="13" t="str">
        <f aca="false">IFERROR(AVERAGEIFS('Match Detail'!$P$2:$P$119,'Match Detail'!$I$2:$I$119,$A57,'Match Detail'!$J$2:$J$119,"confirmed"),"")</f>
        <v/>
      </c>
    </row>
    <row r="58" customFormat="false" ht="15" hidden="false" customHeight="false" outlineLevel="0" collapsed="false">
      <c r="A58" s="14" t="n">
        <v>46260</v>
      </c>
      <c r="B58" s="10" t="n">
        <f aca="false">COUNTIFS('Match Detail'!$I$2:$I$119,$A58)</f>
        <v>1</v>
      </c>
      <c r="C58" s="10" t="n">
        <f aca="false">COUNTIFS('Match Detail'!$I$2:$I$119,$A58,'Match Detail'!$Q$2:$Q$119,"Yes")</f>
        <v>0</v>
      </c>
      <c r="D58" s="10" t="n">
        <f aca="false">COUNTIFS('Match Detail'!$I$2:$I$119,$A58,'Match Detail'!$J$2:$J$119,"confirmed")</f>
        <v>0</v>
      </c>
      <c r="E58" s="10" t="n">
        <f aca="false">COUNTIFS('Match Detail'!$I$2:$I$119,$A58,'Match Detail'!$J$2:$J$119,"delay_flagged")</f>
        <v>0</v>
      </c>
      <c r="F58" s="10" t="n">
        <f aca="false">B58-C58</f>
        <v>1</v>
      </c>
      <c r="G58" s="15" t="n">
        <f aca="false">IF(B58=0,0,C58/B58)</f>
        <v>0</v>
      </c>
      <c r="H58" s="13" t="str">
        <f aca="false">IFERROR(AVERAGEIFS('Match Detail'!$P$2:$P$119,'Match Detail'!$I$2:$I$119,$A58,'Match Detail'!$J$2:$J$119,"confirmed"),"")</f>
        <v/>
      </c>
    </row>
    <row r="59" customFormat="false" ht="15" hidden="false" customHeight="false" outlineLevel="0" collapsed="false">
      <c r="A59" s="14" t="n">
        <v>46261</v>
      </c>
      <c r="B59" s="10" t="n">
        <f aca="false">COUNTIFS('Match Detail'!$I$2:$I$119,$A59)</f>
        <v>1</v>
      </c>
      <c r="C59" s="10" t="n">
        <f aca="false">COUNTIFS('Match Detail'!$I$2:$I$119,$A59,'Match Detail'!$Q$2:$Q$119,"Yes")</f>
        <v>0</v>
      </c>
      <c r="D59" s="10" t="n">
        <f aca="false">COUNTIFS('Match Detail'!$I$2:$I$119,$A59,'Match Detail'!$J$2:$J$119,"confirmed")</f>
        <v>0</v>
      </c>
      <c r="E59" s="10" t="n">
        <f aca="false">COUNTIFS('Match Detail'!$I$2:$I$119,$A59,'Match Detail'!$J$2:$J$119,"delay_flagged")</f>
        <v>0</v>
      </c>
      <c r="F59" s="10" t="n">
        <f aca="false">B59-C59</f>
        <v>1</v>
      </c>
      <c r="G59" s="15" t="n">
        <f aca="false">IF(B59=0,0,C59/B59)</f>
        <v>0</v>
      </c>
      <c r="H59" s="13" t="str">
        <f aca="false">IFERROR(AVERAGEIFS('Match Detail'!$P$2:$P$119,'Match Detail'!$I$2:$I$119,$A59,'Match Detail'!$J$2:$J$119,"confirmed"),"")</f>
        <v/>
      </c>
    </row>
    <row r="60" customFormat="false" ht="15" hidden="false" customHeight="false" outlineLevel="0" collapsed="false">
      <c r="A60" s="14" t="n">
        <v>46262</v>
      </c>
      <c r="B60" s="10" t="n">
        <f aca="false">COUNTIFS('Match Detail'!$I$2:$I$119,$A60)</f>
        <v>1</v>
      </c>
      <c r="C60" s="10" t="n">
        <f aca="false">COUNTIFS('Match Detail'!$I$2:$I$119,$A60,'Match Detail'!$Q$2:$Q$119,"Yes")</f>
        <v>0</v>
      </c>
      <c r="D60" s="10" t="n">
        <f aca="false">COUNTIFS('Match Detail'!$I$2:$I$119,$A60,'Match Detail'!$J$2:$J$119,"confirmed")</f>
        <v>0</v>
      </c>
      <c r="E60" s="10" t="n">
        <f aca="false">COUNTIFS('Match Detail'!$I$2:$I$119,$A60,'Match Detail'!$J$2:$J$119,"delay_flagged")</f>
        <v>0</v>
      </c>
      <c r="F60" s="10" t="n">
        <f aca="false">B60-C60</f>
        <v>1</v>
      </c>
      <c r="G60" s="15" t="n">
        <f aca="false">IF(B60=0,0,C60/B60)</f>
        <v>0</v>
      </c>
      <c r="H60" s="13" t="str">
        <f aca="false">IFERROR(AVERAGEIFS('Match Detail'!$P$2:$P$119,'Match Detail'!$I$2:$I$119,$A60,'Match Detail'!$J$2:$J$119,"confirmed"),"")</f>
        <v/>
      </c>
    </row>
    <row r="61" customFormat="false" ht="15" hidden="false" customHeight="false" outlineLevel="0" collapsed="false">
      <c r="A61" s="14" t="n">
        <v>46263</v>
      </c>
      <c r="B61" s="10" t="n">
        <f aca="false">COUNTIFS('Match Detail'!$I$2:$I$119,$A61)</f>
        <v>1</v>
      </c>
      <c r="C61" s="10" t="n">
        <f aca="false">COUNTIFS('Match Detail'!$I$2:$I$119,$A61,'Match Detail'!$Q$2:$Q$119,"Yes")</f>
        <v>0</v>
      </c>
      <c r="D61" s="10" t="n">
        <f aca="false">COUNTIFS('Match Detail'!$I$2:$I$119,$A61,'Match Detail'!$J$2:$J$119,"confirmed")</f>
        <v>0</v>
      </c>
      <c r="E61" s="10" t="n">
        <f aca="false">COUNTIFS('Match Detail'!$I$2:$I$119,$A61,'Match Detail'!$J$2:$J$119,"delay_flagged")</f>
        <v>0</v>
      </c>
      <c r="F61" s="10" t="n">
        <f aca="false">B61-C61</f>
        <v>1</v>
      </c>
      <c r="G61" s="15" t="n">
        <f aca="false">IF(B61=0,0,C61/B61)</f>
        <v>0</v>
      </c>
      <c r="H61" s="13" t="str">
        <f aca="false">IFERROR(AVERAGEIFS('Match Detail'!$P$2:$P$119,'Match Detail'!$I$2:$I$119,$A61,'Match Detail'!$J$2:$J$119,"confirmed"),"")</f>
        <v/>
      </c>
    </row>
    <row r="62" customFormat="false" ht="15" hidden="false" customHeight="false" outlineLevel="0" collapsed="false">
      <c r="A62" s="14" t="n">
        <v>46264</v>
      </c>
      <c r="B62" s="10" t="n">
        <f aca="false">COUNTIFS('Match Detail'!$I$2:$I$119,$A62)</f>
        <v>1</v>
      </c>
      <c r="C62" s="10" t="n">
        <f aca="false">COUNTIFS('Match Detail'!$I$2:$I$119,$A62,'Match Detail'!$Q$2:$Q$119,"Yes")</f>
        <v>0</v>
      </c>
      <c r="D62" s="10" t="n">
        <f aca="false">COUNTIFS('Match Detail'!$I$2:$I$119,$A62,'Match Detail'!$J$2:$J$119,"confirmed")</f>
        <v>0</v>
      </c>
      <c r="E62" s="10" t="n">
        <f aca="false">COUNTIFS('Match Detail'!$I$2:$I$119,$A62,'Match Detail'!$J$2:$J$119,"delay_flagged")</f>
        <v>0</v>
      </c>
      <c r="F62" s="10" t="n">
        <f aca="false">B62-C62</f>
        <v>1</v>
      </c>
      <c r="G62" s="15" t="n">
        <f aca="false">IF(B62=0,0,C62/B62)</f>
        <v>0</v>
      </c>
      <c r="H62" s="13" t="str">
        <f aca="false">IFERROR(AVERAGEIFS('Match Detail'!$P$2:$P$119,'Match Detail'!$I$2:$I$119,$A62,'Match Detail'!$J$2:$J$119,"confirmed"),"")</f>
        <v/>
      </c>
    </row>
    <row r="63" customFormat="false" ht="15" hidden="false" customHeight="false" outlineLevel="0" collapsed="false">
      <c r="A63" s="14" t="n">
        <v>46265</v>
      </c>
      <c r="B63" s="10" t="n">
        <f aca="false">COUNTIFS('Match Detail'!$I$2:$I$119,$A63)</f>
        <v>1</v>
      </c>
      <c r="C63" s="10" t="n">
        <f aca="false">COUNTIFS('Match Detail'!$I$2:$I$119,$A63,'Match Detail'!$Q$2:$Q$119,"Yes")</f>
        <v>0</v>
      </c>
      <c r="D63" s="10" t="n">
        <f aca="false">COUNTIFS('Match Detail'!$I$2:$I$119,$A63,'Match Detail'!$J$2:$J$119,"confirmed")</f>
        <v>0</v>
      </c>
      <c r="E63" s="10" t="n">
        <f aca="false">COUNTIFS('Match Detail'!$I$2:$I$119,$A63,'Match Detail'!$J$2:$J$119,"delay_flagged")</f>
        <v>0</v>
      </c>
      <c r="F63" s="10" t="n">
        <f aca="false">B63-C63</f>
        <v>1</v>
      </c>
      <c r="G63" s="15" t="n">
        <f aca="false">IF(B63=0,0,C63/B63)</f>
        <v>0</v>
      </c>
      <c r="H63" s="13" t="str">
        <f aca="false">IFERROR(AVERAGEIFS('Match Detail'!$P$2:$P$119,'Match Detail'!$I$2:$I$119,$A63,'Match Detail'!$J$2:$J$119,"confirmed"),"")</f>
        <v/>
      </c>
    </row>
    <row r="64" customFormat="false" ht="15" hidden="false" customHeight="false" outlineLevel="0" collapsed="false">
      <c r="A64" s="14" t="n">
        <v>46266</v>
      </c>
      <c r="B64" s="10" t="n">
        <f aca="false">COUNTIFS('Match Detail'!$I$2:$I$119,$A64)</f>
        <v>1</v>
      </c>
      <c r="C64" s="10" t="n">
        <f aca="false">COUNTIFS('Match Detail'!$I$2:$I$119,$A64,'Match Detail'!$Q$2:$Q$119,"Yes")</f>
        <v>0</v>
      </c>
      <c r="D64" s="10" t="n">
        <f aca="false">COUNTIFS('Match Detail'!$I$2:$I$119,$A64,'Match Detail'!$J$2:$J$119,"confirmed")</f>
        <v>0</v>
      </c>
      <c r="E64" s="10" t="n">
        <f aca="false">COUNTIFS('Match Detail'!$I$2:$I$119,$A64,'Match Detail'!$J$2:$J$119,"delay_flagged")</f>
        <v>0</v>
      </c>
      <c r="F64" s="10" t="n">
        <f aca="false">B64-C64</f>
        <v>1</v>
      </c>
      <c r="G64" s="15" t="n">
        <f aca="false">IF(B64=0,0,C64/B64)</f>
        <v>0</v>
      </c>
      <c r="H64" s="13" t="str">
        <f aca="false">IFERROR(AVERAGEIFS('Match Detail'!$P$2:$P$119,'Match Detail'!$I$2:$I$119,$A64,'Match Detail'!$J$2:$J$119,"confirmed"),"")</f>
        <v/>
      </c>
    </row>
    <row r="65" customFormat="false" ht="15" hidden="false" customHeight="false" outlineLevel="0" collapsed="false">
      <c r="A65" s="14" t="n">
        <v>46267</v>
      </c>
      <c r="B65" s="10" t="n">
        <f aca="false">COUNTIFS('Match Detail'!$I$2:$I$119,$A65)</f>
        <v>1</v>
      </c>
      <c r="C65" s="10" t="n">
        <f aca="false">COUNTIFS('Match Detail'!$I$2:$I$119,$A65,'Match Detail'!$Q$2:$Q$119,"Yes")</f>
        <v>0</v>
      </c>
      <c r="D65" s="10" t="n">
        <f aca="false">COUNTIFS('Match Detail'!$I$2:$I$119,$A65,'Match Detail'!$J$2:$J$119,"confirmed")</f>
        <v>0</v>
      </c>
      <c r="E65" s="10" t="n">
        <f aca="false">COUNTIFS('Match Detail'!$I$2:$I$119,$A65,'Match Detail'!$J$2:$J$119,"delay_flagged")</f>
        <v>0</v>
      </c>
      <c r="F65" s="10" t="n">
        <f aca="false">B65-C65</f>
        <v>1</v>
      </c>
      <c r="G65" s="15" t="n">
        <f aca="false">IF(B65=0,0,C65/B65)</f>
        <v>0</v>
      </c>
      <c r="H65" s="13" t="str">
        <f aca="false">IFERROR(AVERAGEIFS('Match Detail'!$P$2:$P$119,'Match Detail'!$I$2:$I$119,$A65,'Match Detail'!$J$2:$J$119,"confirmed"),"")</f>
        <v/>
      </c>
    </row>
    <row r="66" customFormat="false" ht="15" hidden="false" customHeight="false" outlineLevel="0" collapsed="false">
      <c r="A66" s="14" t="n">
        <v>46268</v>
      </c>
      <c r="B66" s="10" t="n">
        <f aca="false">COUNTIFS('Match Detail'!$I$2:$I$119,$A66)</f>
        <v>1</v>
      </c>
      <c r="C66" s="10" t="n">
        <f aca="false">COUNTIFS('Match Detail'!$I$2:$I$119,$A66,'Match Detail'!$Q$2:$Q$119,"Yes")</f>
        <v>0</v>
      </c>
      <c r="D66" s="10" t="n">
        <f aca="false">COUNTIFS('Match Detail'!$I$2:$I$119,$A66,'Match Detail'!$J$2:$J$119,"confirmed")</f>
        <v>0</v>
      </c>
      <c r="E66" s="10" t="n">
        <f aca="false">COUNTIFS('Match Detail'!$I$2:$I$119,$A66,'Match Detail'!$J$2:$J$119,"delay_flagged")</f>
        <v>0</v>
      </c>
      <c r="F66" s="10" t="n">
        <f aca="false">B66-C66</f>
        <v>1</v>
      </c>
      <c r="G66" s="15" t="n">
        <f aca="false">IF(B66=0,0,C66/B66)</f>
        <v>0</v>
      </c>
      <c r="H66" s="13" t="str">
        <f aca="false">IFERROR(AVERAGEIFS('Match Detail'!$P$2:$P$119,'Match Detail'!$I$2:$I$119,$A66,'Match Detail'!$J$2:$J$119,"confirmed"),"")</f>
        <v/>
      </c>
    </row>
    <row r="67" customFormat="false" ht="15" hidden="false" customHeight="false" outlineLevel="0" collapsed="false">
      <c r="A67" s="14" t="n">
        <v>46269</v>
      </c>
      <c r="B67" s="10" t="n">
        <f aca="false">COUNTIFS('Match Detail'!$I$2:$I$119,$A67)</f>
        <v>1</v>
      </c>
      <c r="C67" s="10" t="n">
        <f aca="false">COUNTIFS('Match Detail'!$I$2:$I$119,$A67,'Match Detail'!$Q$2:$Q$119,"Yes")</f>
        <v>0</v>
      </c>
      <c r="D67" s="10" t="n">
        <f aca="false">COUNTIFS('Match Detail'!$I$2:$I$119,$A67,'Match Detail'!$J$2:$J$119,"confirmed")</f>
        <v>0</v>
      </c>
      <c r="E67" s="10" t="n">
        <f aca="false">COUNTIFS('Match Detail'!$I$2:$I$119,$A67,'Match Detail'!$J$2:$J$119,"delay_flagged")</f>
        <v>0</v>
      </c>
      <c r="F67" s="10" t="n">
        <f aca="false">B67-C67</f>
        <v>1</v>
      </c>
      <c r="G67" s="15" t="n">
        <f aca="false">IF(B67=0,0,C67/B67)</f>
        <v>0</v>
      </c>
      <c r="H67" s="13" t="str">
        <f aca="false">IFERROR(AVERAGEIFS('Match Detail'!$P$2:$P$119,'Match Detail'!$I$2:$I$119,$A67,'Match Detail'!$J$2:$J$119,"confirmed"),"")</f>
        <v/>
      </c>
    </row>
    <row r="68" customFormat="false" ht="15" hidden="false" customHeight="false" outlineLevel="0" collapsed="false">
      <c r="A68" s="14" t="n">
        <v>46270</v>
      </c>
      <c r="B68" s="10" t="n">
        <f aca="false">COUNTIFS('Match Detail'!$I$2:$I$119,$A68)</f>
        <v>1</v>
      </c>
      <c r="C68" s="10" t="n">
        <f aca="false">COUNTIFS('Match Detail'!$I$2:$I$119,$A68,'Match Detail'!$Q$2:$Q$119,"Yes")</f>
        <v>0</v>
      </c>
      <c r="D68" s="10" t="n">
        <f aca="false">COUNTIFS('Match Detail'!$I$2:$I$119,$A68,'Match Detail'!$J$2:$J$119,"confirmed")</f>
        <v>0</v>
      </c>
      <c r="E68" s="10" t="n">
        <f aca="false">COUNTIFS('Match Detail'!$I$2:$I$119,$A68,'Match Detail'!$J$2:$J$119,"delay_flagged")</f>
        <v>0</v>
      </c>
      <c r="F68" s="10" t="n">
        <f aca="false">B68-C68</f>
        <v>1</v>
      </c>
      <c r="G68" s="15" t="n">
        <f aca="false">IF(B68=0,0,C68/B68)</f>
        <v>0</v>
      </c>
      <c r="H68" s="13" t="str">
        <f aca="false">IFERROR(AVERAGEIFS('Match Detail'!$P$2:$P$119,'Match Detail'!$I$2:$I$119,$A68,'Match Detail'!$J$2:$J$119,"confirmed"),"")</f>
        <v/>
      </c>
    </row>
    <row r="69" customFormat="false" ht="15" hidden="false" customHeight="false" outlineLevel="0" collapsed="false">
      <c r="A69" s="14" t="n">
        <v>46271</v>
      </c>
      <c r="B69" s="10" t="n">
        <f aca="false">COUNTIFS('Match Detail'!$I$2:$I$119,$A69)</f>
        <v>2</v>
      </c>
      <c r="C69" s="10" t="n">
        <f aca="false">COUNTIFS('Match Detail'!$I$2:$I$119,$A69,'Match Detail'!$Q$2:$Q$119,"Yes")</f>
        <v>0</v>
      </c>
      <c r="D69" s="10" t="n">
        <f aca="false">COUNTIFS('Match Detail'!$I$2:$I$119,$A69,'Match Detail'!$J$2:$J$119,"confirmed")</f>
        <v>0</v>
      </c>
      <c r="E69" s="10" t="n">
        <f aca="false">COUNTIFS('Match Detail'!$I$2:$I$119,$A69,'Match Detail'!$J$2:$J$119,"delay_flagged")</f>
        <v>0</v>
      </c>
      <c r="F69" s="10" t="n">
        <f aca="false">B69-C69</f>
        <v>2</v>
      </c>
      <c r="G69" s="15" t="n">
        <f aca="false">IF(B69=0,0,C69/B69)</f>
        <v>0</v>
      </c>
      <c r="H69" s="13" t="str">
        <f aca="false">IFERROR(AVERAGEIFS('Match Detail'!$P$2:$P$119,'Match Detail'!$I$2:$I$119,$A69,'Match Detail'!$J$2:$J$119,"confirmed"),"")</f>
        <v/>
      </c>
    </row>
    <row r="70" customFormat="false" ht="15" hidden="false" customHeight="false" outlineLevel="0" collapsed="false">
      <c r="A70" s="14" t="n">
        <v>46273</v>
      </c>
      <c r="B70" s="10" t="n">
        <f aca="false">COUNTIFS('Match Detail'!$I$2:$I$119,$A70)</f>
        <v>1</v>
      </c>
      <c r="C70" s="10" t="n">
        <f aca="false">COUNTIFS('Match Detail'!$I$2:$I$119,$A70,'Match Detail'!$Q$2:$Q$119,"Yes")</f>
        <v>0</v>
      </c>
      <c r="D70" s="10" t="n">
        <f aca="false">COUNTIFS('Match Detail'!$I$2:$I$119,$A70,'Match Detail'!$J$2:$J$119,"confirmed")</f>
        <v>0</v>
      </c>
      <c r="E70" s="10" t="n">
        <f aca="false">COUNTIFS('Match Detail'!$I$2:$I$119,$A70,'Match Detail'!$J$2:$J$119,"delay_flagged")</f>
        <v>0</v>
      </c>
      <c r="F70" s="10" t="n">
        <f aca="false">B70-C70</f>
        <v>1</v>
      </c>
      <c r="G70" s="15" t="n">
        <f aca="false">IF(B70=0,0,C70/B70)</f>
        <v>0</v>
      </c>
      <c r="H70" s="13" t="str">
        <f aca="false">IFERROR(AVERAGEIFS('Match Detail'!$P$2:$P$119,'Match Detail'!$I$2:$I$119,$A70,'Match Detail'!$J$2:$J$119,"confirmed"),"")</f>
        <v/>
      </c>
    </row>
    <row r="71" customFormat="false" ht="15" hidden="false" customHeight="false" outlineLevel="0" collapsed="false">
      <c r="A71" s="14" t="n">
        <v>46274</v>
      </c>
      <c r="B71" s="10" t="n">
        <f aca="false">COUNTIFS('Match Detail'!$I$2:$I$119,$A71)</f>
        <v>1</v>
      </c>
      <c r="C71" s="10" t="n">
        <f aca="false">COUNTIFS('Match Detail'!$I$2:$I$119,$A71,'Match Detail'!$Q$2:$Q$119,"Yes")</f>
        <v>0</v>
      </c>
      <c r="D71" s="10" t="n">
        <f aca="false">COUNTIFS('Match Detail'!$I$2:$I$119,$A71,'Match Detail'!$J$2:$J$119,"confirmed")</f>
        <v>0</v>
      </c>
      <c r="E71" s="10" t="n">
        <f aca="false">COUNTIFS('Match Detail'!$I$2:$I$119,$A71,'Match Detail'!$J$2:$J$119,"delay_flagged")</f>
        <v>0</v>
      </c>
      <c r="F71" s="10" t="n">
        <f aca="false">B71-C71</f>
        <v>1</v>
      </c>
      <c r="G71" s="15" t="n">
        <f aca="false">IF(B71=0,0,C71/B71)</f>
        <v>0</v>
      </c>
      <c r="H71" s="13" t="str">
        <f aca="false">IFERROR(AVERAGEIFS('Match Detail'!$P$2:$P$119,'Match Detail'!$I$2:$I$119,$A71,'Match Detail'!$J$2:$J$119,"confirmed"),"")</f>
        <v/>
      </c>
    </row>
    <row r="72" customFormat="false" ht="15" hidden="false" customHeight="false" outlineLevel="0" collapsed="false">
      <c r="A72" s="14" t="n">
        <v>46275</v>
      </c>
      <c r="B72" s="10" t="n">
        <f aca="false">COUNTIFS('Match Detail'!$I$2:$I$119,$A72)</f>
        <v>1</v>
      </c>
      <c r="C72" s="10" t="n">
        <f aca="false">COUNTIFS('Match Detail'!$I$2:$I$119,$A72,'Match Detail'!$Q$2:$Q$119,"Yes")</f>
        <v>0</v>
      </c>
      <c r="D72" s="10" t="n">
        <f aca="false">COUNTIFS('Match Detail'!$I$2:$I$119,$A72,'Match Detail'!$J$2:$J$119,"confirmed")</f>
        <v>0</v>
      </c>
      <c r="E72" s="10" t="n">
        <f aca="false">COUNTIFS('Match Detail'!$I$2:$I$119,$A72,'Match Detail'!$J$2:$J$119,"delay_flagged")</f>
        <v>0</v>
      </c>
      <c r="F72" s="10" t="n">
        <f aca="false">B72-C72</f>
        <v>1</v>
      </c>
      <c r="G72" s="15" t="n">
        <f aca="false">IF(B72=0,0,C72/B72)</f>
        <v>0</v>
      </c>
      <c r="H72" s="13" t="str">
        <f aca="false">IFERROR(AVERAGEIFS('Match Detail'!$P$2:$P$119,'Match Detail'!$I$2:$I$119,$A72,'Match Detail'!$J$2:$J$119,"confirmed"),"")</f>
        <v/>
      </c>
    </row>
    <row r="73" customFormat="false" ht="15" hidden="false" customHeight="false" outlineLevel="0" collapsed="false">
      <c r="A73" s="14" t="n">
        <v>46276</v>
      </c>
      <c r="B73" s="10" t="n">
        <f aca="false">COUNTIFS('Match Detail'!$I$2:$I$119,$A73)</f>
        <v>1</v>
      </c>
      <c r="C73" s="10" t="n">
        <f aca="false">COUNTIFS('Match Detail'!$I$2:$I$119,$A73,'Match Detail'!$Q$2:$Q$119,"Yes")</f>
        <v>0</v>
      </c>
      <c r="D73" s="10" t="n">
        <f aca="false">COUNTIFS('Match Detail'!$I$2:$I$119,$A73,'Match Detail'!$J$2:$J$119,"confirmed")</f>
        <v>0</v>
      </c>
      <c r="E73" s="10" t="n">
        <f aca="false">COUNTIFS('Match Detail'!$I$2:$I$119,$A73,'Match Detail'!$J$2:$J$119,"delay_flagged")</f>
        <v>0</v>
      </c>
      <c r="F73" s="10" t="n">
        <f aca="false">B73-C73</f>
        <v>1</v>
      </c>
      <c r="G73" s="15" t="n">
        <f aca="false">IF(B73=0,0,C73/B73)</f>
        <v>0</v>
      </c>
      <c r="H73" s="13" t="str">
        <f aca="false">IFERROR(AVERAGEIFS('Match Detail'!$P$2:$P$119,'Match Detail'!$I$2:$I$119,$A73,'Match Detail'!$J$2:$J$119,"confirmed"),"")</f>
        <v/>
      </c>
    </row>
    <row r="74" customFormat="false" ht="15" hidden="false" customHeight="false" outlineLevel="0" collapsed="false">
      <c r="A74" s="14" t="n">
        <v>46277</v>
      </c>
      <c r="B74" s="10" t="n">
        <f aca="false">COUNTIFS('Match Detail'!$I$2:$I$119,$A74)</f>
        <v>1</v>
      </c>
      <c r="C74" s="10" t="n">
        <f aca="false">COUNTIFS('Match Detail'!$I$2:$I$119,$A74,'Match Detail'!$Q$2:$Q$119,"Yes")</f>
        <v>0</v>
      </c>
      <c r="D74" s="10" t="n">
        <f aca="false">COUNTIFS('Match Detail'!$I$2:$I$119,$A74,'Match Detail'!$J$2:$J$119,"confirmed")</f>
        <v>0</v>
      </c>
      <c r="E74" s="10" t="n">
        <f aca="false">COUNTIFS('Match Detail'!$I$2:$I$119,$A74,'Match Detail'!$J$2:$J$119,"delay_flagged")</f>
        <v>0</v>
      </c>
      <c r="F74" s="10" t="n">
        <f aca="false">B74-C74</f>
        <v>1</v>
      </c>
      <c r="G74" s="15" t="n">
        <f aca="false">IF(B74=0,0,C74/B74)</f>
        <v>0</v>
      </c>
      <c r="H74" s="13" t="str">
        <f aca="false">IFERROR(AVERAGEIFS('Match Detail'!$P$2:$P$119,'Match Detail'!$I$2:$I$119,$A74,'Match Detail'!$J$2:$J$119,"confirmed"),"")</f>
        <v/>
      </c>
    </row>
    <row r="75" customFormat="false" ht="15" hidden="false" customHeight="false" outlineLevel="0" collapsed="false">
      <c r="A75" s="14" t="n">
        <v>46278</v>
      </c>
      <c r="B75" s="10" t="n">
        <f aca="false">COUNTIFS('Match Detail'!$I$2:$I$119,$A75)</f>
        <v>1</v>
      </c>
      <c r="C75" s="10" t="n">
        <f aca="false">COUNTIFS('Match Detail'!$I$2:$I$119,$A75,'Match Detail'!$Q$2:$Q$119,"Yes")</f>
        <v>0</v>
      </c>
      <c r="D75" s="10" t="n">
        <f aca="false">COUNTIFS('Match Detail'!$I$2:$I$119,$A75,'Match Detail'!$J$2:$J$119,"confirmed")</f>
        <v>0</v>
      </c>
      <c r="E75" s="10" t="n">
        <f aca="false">COUNTIFS('Match Detail'!$I$2:$I$119,$A75,'Match Detail'!$J$2:$J$119,"delay_flagged")</f>
        <v>0</v>
      </c>
      <c r="F75" s="10" t="n">
        <f aca="false">B75-C75</f>
        <v>1</v>
      </c>
      <c r="G75" s="15" t="n">
        <f aca="false">IF(B75=0,0,C75/B75)</f>
        <v>0</v>
      </c>
      <c r="H75" s="13" t="str">
        <f aca="false">IFERROR(AVERAGEIFS('Match Detail'!$P$2:$P$119,'Match Detail'!$I$2:$I$119,$A75,'Match Detail'!$J$2:$J$119,"confirmed"),"")</f>
        <v/>
      </c>
    </row>
    <row r="76" customFormat="false" ht="15" hidden="false" customHeight="false" outlineLevel="0" collapsed="false">
      <c r="A76" s="14" t="n">
        <v>46281</v>
      </c>
      <c r="B76" s="10" t="n">
        <f aca="false">COUNTIFS('Match Detail'!$I$2:$I$119,$A76)</f>
        <v>1</v>
      </c>
      <c r="C76" s="10" t="n">
        <f aca="false">COUNTIFS('Match Detail'!$I$2:$I$119,$A76,'Match Detail'!$Q$2:$Q$119,"Yes")</f>
        <v>0</v>
      </c>
      <c r="D76" s="10" t="n">
        <f aca="false">COUNTIFS('Match Detail'!$I$2:$I$119,$A76,'Match Detail'!$J$2:$J$119,"confirmed")</f>
        <v>0</v>
      </c>
      <c r="E76" s="10" t="n">
        <f aca="false">COUNTIFS('Match Detail'!$I$2:$I$119,$A76,'Match Detail'!$J$2:$J$119,"delay_flagged")</f>
        <v>0</v>
      </c>
      <c r="F76" s="10" t="n">
        <f aca="false">B76-C76</f>
        <v>1</v>
      </c>
      <c r="G76" s="15" t="n">
        <f aca="false">IF(B76=0,0,C76/B76)</f>
        <v>0</v>
      </c>
      <c r="H76" s="13" t="str">
        <f aca="false">IFERROR(AVERAGEIFS('Match Detail'!$P$2:$P$119,'Match Detail'!$I$2:$I$119,$A76,'Match Detail'!$J$2:$J$119,"confirmed"),"")</f>
        <v/>
      </c>
    </row>
    <row r="77" customFormat="false" ht="15" hidden="false" customHeight="false" outlineLevel="0" collapsed="false">
      <c r="A77" s="14" t="n">
        <v>46282</v>
      </c>
      <c r="B77" s="10" t="n">
        <f aca="false">COUNTIFS('Match Detail'!$I$2:$I$119,$A77)</f>
        <v>1</v>
      </c>
      <c r="C77" s="10" t="n">
        <f aca="false">COUNTIFS('Match Detail'!$I$2:$I$119,$A77,'Match Detail'!$Q$2:$Q$119,"Yes")</f>
        <v>0</v>
      </c>
      <c r="D77" s="10" t="n">
        <f aca="false">COUNTIFS('Match Detail'!$I$2:$I$119,$A77,'Match Detail'!$J$2:$J$119,"confirmed")</f>
        <v>0</v>
      </c>
      <c r="E77" s="10" t="n">
        <f aca="false">COUNTIFS('Match Detail'!$I$2:$I$119,$A77,'Match Detail'!$J$2:$J$119,"delay_flagged")</f>
        <v>0</v>
      </c>
      <c r="F77" s="10" t="n">
        <f aca="false">B77-C77</f>
        <v>1</v>
      </c>
      <c r="G77" s="15" t="n">
        <f aca="false">IF(B77=0,0,C77/B77)</f>
        <v>0</v>
      </c>
      <c r="H77" s="13" t="str">
        <f aca="false">IFERROR(AVERAGEIFS('Match Detail'!$P$2:$P$119,'Match Detail'!$I$2:$I$119,$A77,'Match Detail'!$J$2:$J$119,"confirmed"),"")</f>
        <v/>
      </c>
    </row>
    <row r="78" customFormat="false" ht="15" hidden="false" customHeight="false" outlineLevel="0" collapsed="false">
      <c r="A78" s="14" t="n">
        <v>46283</v>
      </c>
      <c r="B78" s="10" t="n">
        <f aca="false">COUNTIFS('Match Detail'!$I$2:$I$119,$A78)</f>
        <v>1</v>
      </c>
      <c r="C78" s="10" t="n">
        <f aca="false">COUNTIFS('Match Detail'!$I$2:$I$119,$A78,'Match Detail'!$Q$2:$Q$119,"Yes")</f>
        <v>0</v>
      </c>
      <c r="D78" s="10" t="n">
        <f aca="false">COUNTIFS('Match Detail'!$I$2:$I$119,$A78,'Match Detail'!$J$2:$J$119,"confirmed")</f>
        <v>0</v>
      </c>
      <c r="E78" s="10" t="n">
        <f aca="false">COUNTIFS('Match Detail'!$I$2:$I$119,$A78,'Match Detail'!$J$2:$J$119,"delay_flagged")</f>
        <v>0</v>
      </c>
      <c r="F78" s="10" t="n">
        <f aca="false">B78-C78</f>
        <v>1</v>
      </c>
      <c r="G78" s="15" t="n">
        <f aca="false">IF(B78=0,0,C78/B78)</f>
        <v>0</v>
      </c>
      <c r="H78" s="13" t="str">
        <f aca="false">IFERROR(AVERAGEIFS('Match Detail'!$P$2:$P$119,'Match Detail'!$I$2:$I$119,$A78,'Match Detail'!$J$2:$J$119,"confirmed"),"")</f>
        <v/>
      </c>
    </row>
    <row r="79" customFormat="false" ht="15" hidden="false" customHeight="false" outlineLevel="0" collapsed="false">
      <c r="A79" s="14" t="n">
        <v>46285</v>
      </c>
      <c r="B79" s="10" t="n">
        <f aca="false">COUNTIFS('Match Detail'!$I$2:$I$119,$A79)</f>
        <v>1</v>
      </c>
      <c r="C79" s="10" t="n">
        <f aca="false">COUNTIFS('Match Detail'!$I$2:$I$119,$A79,'Match Detail'!$Q$2:$Q$119,"Yes")</f>
        <v>0</v>
      </c>
      <c r="D79" s="10" t="n">
        <f aca="false">COUNTIFS('Match Detail'!$I$2:$I$119,$A79,'Match Detail'!$J$2:$J$119,"confirmed")</f>
        <v>0</v>
      </c>
      <c r="E79" s="10" t="n">
        <f aca="false">COUNTIFS('Match Detail'!$I$2:$I$119,$A79,'Match Detail'!$J$2:$J$119,"delay_flagged")</f>
        <v>0</v>
      </c>
      <c r="F79" s="10" t="n">
        <f aca="false">B79-C79</f>
        <v>1</v>
      </c>
      <c r="G79" s="15" t="n">
        <f aca="false">IF(B79=0,0,C79/B79)</f>
        <v>0</v>
      </c>
      <c r="H79" s="13" t="str">
        <f aca="false">IFERROR(AVERAGEIFS('Match Detail'!$P$2:$P$119,'Match Detail'!$I$2:$I$119,$A79,'Match Detail'!$J$2:$J$119,"confirmed"),"")</f>
        <v/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2026-08-23T12:14:51Z</dcterms:created>
  <dc:creator>openpyxl</dc:creator>
  <dc:description/>
  <dc:language>en-US</dc:language>
  <cp:lastModifiedBy/>
  <dcterms:modified xsi:type="dcterms:W3CDTF">2026-08-23T12:15:13Z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